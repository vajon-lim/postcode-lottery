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weedenca\Downloads\"/>
    </mc:Choice>
  </mc:AlternateContent>
  <xr:revisionPtr revIDLastSave="0" documentId="13_ncr:1_{CDE6ED8F-87BB-4ADC-9E4D-369E71FE171D}" xr6:coauthVersionLast="47" xr6:coauthVersionMax="47" xr10:uidLastSave="{00000000-0000-0000-0000-000000000000}"/>
  <bookViews>
    <workbookView xWindow="-120" yWindow="-120" windowWidth="29040" windowHeight="15720" xr2:uid="{00000000-000D-0000-FFFF-FFFF00000000}"/>
  </bookViews>
  <sheets>
    <sheet name="Contents" sheetId="335" r:id="rId1"/>
    <sheet name="Table S1" sheetId="346" r:id="rId2"/>
    <sheet name="Table S2" sheetId="356" r:id="rId3"/>
    <sheet name="Table S3" sheetId="357" r:id="rId4"/>
    <sheet name="Table S4" sheetId="354" r:id="rId5"/>
    <sheet name="Table S5" sheetId="363" r:id="rId6"/>
    <sheet name="Table S6" sheetId="360" r:id="rId7"/>
    <sheet name="Table S7" sheetId="358" r:id="rId8"/>
    <sheet name="Table S8" sheetId="359" r:id="rId9"/>
    <sheet name="Table S9" sheetId="349" r:id="rId10"/>
    <sheet name="Table S10" sheetId="350" r:id="rId11"/>
    <sheet name="Table S11" sheetId="351" r:id="rId12"/>
  </sheets>
  <definedNames>
    <definedName name="_xlnm._FilterDatabase" localSheetId="8" hidden="1">'Table S8'!$K$6:$M$15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360" l="1"/>
  <c r="F14" i="360"/>
  <c r="F13" i="360"/>
  <c r="F12" i="360"/>
  <c r="F11" i="360"/>
  <c r="F10" i="360"/>
  <c r="F9" i="360"/>
  <c r="F8" i="360"/>
</calcChain>
</file>

<file path=xl/sharedStrings.xml><?xml version="1.0" encoding="utf-8"?>
<sst xmlns="http://schemas.openxmlformats.org/spreadsheetml/2006/main" count="682" uniqueCount="373">
  <si>
    <t>Males</t>
  </si>
  <si>
    <t>Females</t>
  </si>
  <si>
    <t>Persons</t>
  </si>
  <si>
    <t>Contents</t>
  </si>
  <si>
    <t>Health risk factor</t>
  </si>
  <si>
    <t>Major cities</t>
  </si>
  <si>
    <t>Inner regional</t>
  </si>
  <si>
    <r>
      <t>Outer regional and remote</t>
    </r>
    <r>
      <rPr>
        <b/>
        <vertAlign val="superscript"/>
        <sz val="8"/>
        <color rgb="FF000000"/>
        <rFont val="Arial"/>
        <family val="2"/>
      </rPr>
      <t>(b)</t>
    </r>
  </si>
  <si>
    <t>95% CI</t>
  </si>
  <si>
    <t>Current daily smoker</t>
  </si>
  <si>
    <t>Chronic condition</t>
  </si>
  <si>
    <t>Asthma</t>
  </si>
  <si>
    <t>Back pain and problems</t>
  </si>
  <si>
    <t>Notes:</t>
  </si>
  <si>
    <t>Age standardised</t>
  </si>
  <si>
    <t>%</t>
  </si>
  <si>
    <t xml:space="preserve"> 95% CI</t>
  </si>
  <si>
    <t>Crude</t>
  </si>
  <si>
    <t xml:space="preserve"> %</t>
  </si>
  <si>
    <t xml:space="preserve">Age standardised </t>
  </si>
  <si>
    <t xml:space="preserve">Crude </t>
  </si>
  <si>
    <t>Rural and remote health</t>
  </si>
  <si>
    <t>Supplementary data tables</t>
  </si>
  <si>
    <t>Remoteness area</t>
  </si>
  <si>
    <t>Age group (years)</t>
  </si>
  <si>
    <t>0–4</t>
  </si>
  <si>
    <t>5–14</t>
  </si>
  <si>
    <t>15–24</t>
  </si>
  <si>
    <t>25–34</t>
  </si>
  <si>
    <t>35–44</t>
  </si>
  <si>
    <t>45–54</t>
  </si>
  <si>
    <t>55–64</t>
  </si>
  <si>
    <t>65–74</t>
  </si>
  <si>
    <t>75–84</t>
  </si>
  <si>
    <t>85+</t>
  </si>
  <si>
    <t xml:space="preserve">Major cities </t>
  </si>
  <si>
    <t xml:space="preserve">Inner regional </t>
  </si>
  <si>
    <t>Outer regional</t>
  </si>
  <si>
    <t>Remote</t>
  </si>
  <si>
    <t>Very remote</t>
  </si>
  <si>
    <t>Cause of death</t>
  </si>
  <si>
    <t>Rank</t>
  </si>
  <si>
    <t>Deaths</t>
  </si>
  <si>
    <t>Per cent of all causes</t>
  </si>
  <si>
    <t>Crude rate (per 100,000)</t>
  </si>
  <si>
    <t>Type of health professional</t>
  </si>
  <si>
    <t>General practitioner (GP)</t>
  </si>
  <si>
    <t>Specialist</t>
  </si>
  <si>
    <t>Podiatrists</t>
  </si>
  <si>
    <t>Psychologists</t>
  </si>
  <si>
    <t>Optometrists</t>
  </si>
  <si>
    <t>Dentists</t>
  </si>
  <si>
    <t>Pharmacists</t>
  </si>
  <si>
    <t>Physiotherapists</t>
  </si>
  <si>
    <r>
      <t xml:space="preserve">Per cent </t>
    </r>
    <r>
      <rPr>
        <b/>
        <vertAlign val="superscript"/>
        <sz val="8"/>
        <color rgb="FF000000"/>
        <rFont val="Arial"/>
        <family val="2"/>
      </rPr>
      <t>(a)</t>
    </r>
  </si>
  <si>
    <t xml:space="preserve">Inner Regional </t>
  </si>
  <si>
    <t xml:space="preserve">Major Cities </t>
  </si>
  <si>
    <t xml:space="preserve">Outer Regional </t>
  </si>
  <si>
    <t xml:space="preserve">Remote </t>
  </si>
  <si>
    <t xml:space="preserve">Very Remote </t>
  </si>
  <si>
    <t>Coronary heart disease</t>
  </si>
  <si>
    <t>Lung cancer</t>
  </si>
  <si>
    <t>Note:</t>
  </si>
  <si>
    <r>
      <t>Age-standardised rate</t>
    </r>
    <r>
      <rPr>
        <b/>
        <vertAlign val="superscript"/>
        <sz val="8"/>
        <color theme="1"/>
        <rFont val="Arial"/>
        <family val="2"/>
      </rPr>
      <t>(a)</t>
    </r>
    <r>
      <rPr>
        <b/>
        <sz val="8"/>
        <color theme="1"/>
        <rFont val="Arial"/>
        <family val="2"/>
      </rPr>
      <t xml:space="preserve"> (per 100,000)</t>
    </r>
  </si>
  <si>
    <t>(a) Proportions were directly age standardised to the 2001 Australian Standard Population.</t>
  </si>
  <si>
    <t xml:space="preserve">(a) Directly age standardised to the 2001 Australian Standard Population. </t>
  </si>
  <si>
    <t>Year</t>
  </si>
  <si>
    <r>
      <t xml:space="preserve">Modified Monash Model </t>
    </r>
    <r>
      <rPr>
        <b/>
        <vertAlign val="superscript"/>
        <sz val="8"/>
        <color theme="1"/>
        <rFont val="Arial"/>
        <family val="2"/>
      </rPr>
      <t>(a)</t>
    </r>
  </si>
  <si>
    <t>Major Cities</t>
  </si>
  <si>
    <t>Outer Regional</t>
  </si>
  <si>
    <t>Remoteness Area</t>
  </si>
  <si>
    <t>Separations per 1,000</t>
  </si>
  <si>
    <t xml:space="preserve">Notes: </t>
  </si>
  <si>
    <t>Chronic obstructive pulmonary disease (COPD)</t>
  </si>
  <si>
    <t xml:space="preserve"> Major Cities (MM1)</t>
  </si>
  <si>
    <t>Regional Centres (MM2)</t>
  </si>
  <si>
    <t>Large rural towns (MM3)</t>
  </si>
  <si>
    <t>Medium rural towns (MM4)</t>
  </si>
  <si>
    <t>Small rural towns (MM5)</t>
  </si>
  <si>
    <t>Remote communities (MM6)</t>
  </si>
  <si>
    <t>Very remote communities (MM7)</t>
  </si>
  <si>
    <t>Remote and very remote</t>
  </si>
  <si>
    <t>Disease</t>
  </si>
  <si>
    <t>Inner Regional</t>
  </si>
  <si>
    <t>Remoteness areas</t>
  </si>
  <si>
    <t>Anxiety disorders</t>
  </si>
  <si>
    <t>Chronic kidney disease</t>
  </si>
  <si>
    <t>Dementia</t>
  </si>
  <si>
    <t>Stroke</t>
  </si>
  <si>
    <t>Suicide and self-inflicted injuries</t>
  </si>
  <si>
    <t>Type 2 diabetes mellitus</t>
  </si>
  <si>
    <t xml:space="preserve">Males </t>
  </si>
  <si>
    <t xml:space="preserve">Ratio (relative to Major cities) </t>
  </si>
  <si>
    <t xml:space="preserve">(a) Proportions are directly age standardised to the 2001 Australian Standard Population. </t>
  </si>
  <si>
    <t>(c) Reporting for chronic obstructive pulmonary disease and osteoporosis is from 45+ years. All other chronic conditions are reported from 18+ years.</t>
  </si>
  <si>
    <t>(e)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t>
  </si>
  <si>
    <t>(f) Includes rheumatoid arthritis, osteoarthritis, other and type unknown.</t>
  </si>
  <si>
    <t>(g) Includes sciatical, disc disorder, back pain/problems not elsewhere classified and curvature of the spine.</t>
  </si>
  <si>
    <t>(h) Includes chronic bronchitis, emphysema and chronic airflow limitation. Reporting for chronic obstructive pulmonary disease is from 45+ years.</t>
  </si>
  <si>
    <t xml:space="preserve">(i) Includes angina, heart attack, other ischaemic heart diseases, stroke, other cerebrovascular diseases, oedema, heart failure, and diseases of the arteries, arterioles and capillaries. Estimates include persons who reported they had angina, heart attack, other ischaemic heart diseases, stroke or other cerebrovascular diseases but that these conditions were not current at the time of interview. </t>
  </si>
  <si>
    <t>(j) Includes Type 1 and Type 2 diabetes, and type unknown. Estimates include persons who reported they had diabetes mellitus but that it was not current at the time of interview.</t>
  </si>
  <si>
    <t>(k) Includes osteopenia. Reporting for osteoporosis is from 45+ years.</t>
  </si>
  <si>
    <t>(l) Includes harmful use or dependence on alcohol and/or drugs, mood (affective) disorders, anxiety related disorders, problems of psychological development, organic mental disorders and other mental and behavioural conditions. Includes self-reported mental and behavioural conditions only and is not based on any diagnostic screening tool.</t>
  </si>
  <si>
    <r>
      <t>Arthritis</t>
    </r>
    <r>
      <rPr>
        <vertAlign val="superscript"/>
        <sz val="8"/>
        <color theme="1"/>
        <rFont val="Arial"/>
        <family val="2"/>
      </rPr>
      <t>(f)</t>
    </r>
  </si>
  <si>
    <r>
      <t>Heart, stroke and vascular disease</t>
    </r>
    <r>
      <rPr>
        <vertAlign val="superscript"/>
        <sz val="8"/>
        <color theme="1"/>
        <rFont val="Arial"/>
        <family val="2"/>
      </rPr>
      <t>(j)</t>
    </r>
  </si>
  <si>
    <r>
      <t>Back pain and problems</t>
    </r>
    <r>
      <rPr>
        <vertAlign val="superscript"/>
        <sz val="8"/>
        <color theme="1"/>
        <rFont val="Arial"/>
        <family val="2"/>
      </rPr>
      <t>(g)</t>
    </r>
  </si>
  <si>
    <r>
      <t>Chronic obstructive pulmonary disease (COPD)</t>
    </r>
    <r>
      <rPr>
        <vertAlign val="superscript"/>
        <sz val="8"/>
        <color theme="1"/>
        <rFont val="Arial"/>
        <family val="2"/>
      </rPr>
      <t>(h)</t>
    </r>
  </si>
  <si>
    <r>
      <t>Diabetes</t>
    </r>
    <r>
      <rPr>
        <vertAlign val="superscript"/>
        <sz val="8"/>
        <color theme="1"/>
        <rFont val="Arial"/>
        <family val="2"/>
      </rPr>
      <t>(j)</t>
    </r>
  </si>
  <si>
    <r>
      <t>Osteoporosis</t>
    </r>
    <r>
      <rPr>
        <vertAlign val="superscript"/>
        <sz val="8"/>
        <color theme="1"/>
        <rFont val="Arial"/>
        <family val="2"/>
      </rPr>
      <t>(k)</t>
    </r>
  </si>
  <si>
    <r>
      <t>Mental and behavioural conditions</t>
    </r>
    <r>
      <rPr>
        <vertAlign val="superscript"/>
        <sz val="8"/>
        <color theme="1"/>
        <rFont val="Arial"/>
        <family val="2"/>
      </rPr>
      <t>(l)</t>
    </r>
  </si>
  <si>
    <t>(c)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t>
  </si>
  <si>
    <r>
      <t>Overweight or obese</t>
    </r>
    <r>
      <rPr>
        <vertAlign val="superscript"/>
        <sz val="8"/>
        <color theme="1"/>
        <rFont val="Arial"/>
        <family val="2"/>
      </rPr>
      <t>(d)</t>
    </r>
  </si>
  <si>
    <r>
      <t>High blood pressure</t>
    </r>
    <r>
      <rPr>
        <vertAlign val="superscript"/>
        <sz val="8"/>
        <color theme="1"/>
        <rFont val="Arial"/>
        <family val="2"/>
      </rPr>
      <t>(g)(h)</t>
    </r>
  </si>
  <si>
    <r>
      <t>Inadequate fruit intake</t>
    </r>
    <r>
      <rPr>
        <vertAlign val="superscript"/>
        <sz val="8"/>
        <color theme="1"/>
        <rFont val="Arial"/>
        <family val="2"/>
      </rPr>
      <t>(i)</t>
    </r>
  </si>
  <si>
    <t xml:space="preserve">(f) National Health and Medical Research Council (NHMRC) 2020. The Australian Adult Alcohol Guideline recommends persons aged 18 years and over, either drink no more than 10 standard drinks per week or no more than 4 standard drinks on a single day once a month or more often. </t>
  </si>
  <si>
    <t>(i) Based on the NHMRC 2013 Australian Dietary Guidelines.</t>
  </si>
  <si>
    <r>
      <t>Inadequate vegetable intake</t>
    </r>
    <r>
      <rPr>
        <vertAlign val="superscript"/>
        <sz val="8"/>
        <color theme="1"/>
        <rFont val="Arial"/>
        <family val="2"/>
      </rPr>
      <t>(i)</t>
    </r>
  </si>
  <si>
    <t>39.3-41.9</t>
  </si>
  <si>
    <t>39.8-46.3</t>
  </si>
  <si>
    <t>42.4-49.6</t>
  </si>
  <si>
    <t>38.7-41.5</t>
  </si>
  <si>
    <t>37.8-44.6</t>
  </si>
  <si>
    <t>40.5-49.1</t>
  </si>
  <si>
    <t>34.9-38.1</t>
  </si>
  <si>
    <t>36.1-44.7</t>
  </si>
  <si>
    <t>38.0-48.8</t>
  </si>
  <si>
    <t>34.4-38.2</t>
  </si>
  <si>
    <r>
      <t>Exceeds alcohol guidelines</t>
    </r>
    <r>
      <rPr>
        <vertAlign val="superscript"/>
        <sz val="8"/>
        <color theme="1"/>
        <rFont val="Arial"/>
        <family val="2"/>
      </rPr>
      <t>(f)</t>
    </r>
  </si>
  <si>
    <t>31.8-42.0</t>
  </si>
  <si>
    <t>36.8-48.4</t>
  </si>
  <si>
    <t>42.6-46.6</t>
  </si>
  <si>
    <t>41.0-49.9</t>
  </si>
  <si>
    <t>43.5-53.8</t>
  </si>
  <si>
    <t>41.9-45.6</t>
  </si>
  <si>
    <t>40.1-49.4</t>
  </si>
  <si>
    <t>41.3-52.9</t>
  </si>
  <si>
    <t>15.5–17.3</t>
  </si>
  <si>
    <t>10.5–11.9</t>
  </si>
  <si>
    <t>17.8–19.7</t>
  </si>
  <si>
    <t>3.5–4.7</t>
  </si>
  <si>
    <t>5.2–6.4</t>
  </si>
  <si>
    <t>5.5–6.9</t>
  </si>
  <si>
    <t>7.0–8.5</t>
  </si>
  <si>
    <t>26.0–28.4</t>
  </si>
  <si>
    <t>23.0–27.9</t>
  </si>
  <si>
    <t>10.1–14.7</t>
  </si>
  <si>
    <t>20.8–26.4</t>
  </si>
  <si>
    <t>4.2–7.0</t>
  </si>
  <si>
    <t>7.7–11.0</t>
  </si>
  <si>
    <t>6.8–9.7</t>
  </si>
  <si>
    <t>7.3–10.5</t>
  </si>
  <si>
    <t>27.9–34.4</t>
  </si>
  <si>
    <t>21.6–26.9</t>
  </si>
  <si>
    <t>9.9–15.0</t>
  </si>
  <si>
    <t>20.7–25.9</t>
  </si>
  <si>
    <t>4.6–10.2</t>
  </si>
  <si>
    <t>7.2–10.8</t>
  </si>
  <si>
    <t>6.8–10.5</t>
  </si>
  <si>
    <t>5.0–9.4</t>
  </si>
  <si>
    <t>28.7–35.2</t>
  </si>
  <si>
    <t>14.4–16.1</t>
  </si>
  <si>
    <t>10.4–12.1</t>
  </si>
  <si>
    <t>17.3–19.3</t>
  </si>
  <si>
    <t>3.2–4.5</t>
  </si>
  <si>
    <t>4.8–5.9</t>
  </si>
  <si>
    <t>5.2–6.3</t>
  </si>
  <si>
    <t>6.5–8.0</t>
  </si>
  <si>
    <t>26.2–28.8</t>
  </si>
  <si>
    <t>17.4–21.6</t>
  </si>
  <si>
    <t>10.3–14.9</t>
  </si>
  <si>
    <t>19.2–24.4</t>
  </si>
  <si>
    <t>3.6–6.8</t>
  </si>
  <si>
    <t>5.3–8.3</t>
  </si>
  <si>
    <t>5.1–7.9</t>
  </si>
  <si>
    <t>6.1–9.2</t>
  </si>
  <si>
    <t>29.9–36.3</t>
  </si>
  <si>
    <t>16.2–20.2</t>
  </si>
  <si>
    <t>9.7–14.7</t>
  </si>
  <si>
    <t>18.6–24.4</t>
  </si>
  <si>
    <t>4.8–8.8</t>
  </si>
  <si>
    <t>5.2–8.0</t>
  </si>
  <si>
    <t>5.0–8.5</t>
  </si>
  <si>
    <t>4.5–8.4</t>
  </si>
  <si>
    <t>29.0–36.1</t>
  </si>
  <si>
    <t>10.1–12.8</t>
  </si>
  <si>
    <t>10.7–16.0</t>
  </si>
  <si>
    <t>11.2–18.1</t>
  </si>
  <si>
    <t>15.3–26.6</t>
  </si>
  <si>
    <t>16.6–27.1</t>
  </si>
  <si>
    <t>6.3–8.4</t>
  </si>
  <si>
    <t>10.3–15.8</t>
  </si>
  <si>
    <t>10.8–18.0</t>
  </si>
  <si>
    <t>9.2–15.1</t>
  </si>
  <si>
    <t>9.1–16.5</t>
  </si>
  <si>
    <t>8.6–10.1</t>
  </si>
  <si>
    <t>8.5–10.1</t>
  </si>
  <si>
    <t>11.5–14.8</t>
  </si>
  <si>
    <t>12.1–16.9</t>
  </si>
  <si>
    <t>13.4–19.7</t>
  </si>
  <si>
    <t>14.3–20.7</t>
  </si>
  <si>
    <t>69.1–72.9</t>
  </si>
  <si>
    <t>69.0–72.7</t>
  </si>
  <si>
    <t>69.5–77.9</t>
  </si>
  <si>
    <t>65.6–75.0</t>
  </si>
  <si>
    <t>70.4–79.4</t>
  </si>
  <si>
    <t>67.4–77.5</t>
  </si>
  <si>
    <t>57.4–60.4</t>
  </si>
  <si>
    <t>56.1–59.9</t>
  </si>
  <si>
    <t>64.1–71.4</t>
  </si>
  <si>
    <t>61.7–70.6</t>
  </si>
  <si>
    <t>64.0–73.1</t>
  </si>
  <si>
    <t>61.3–72.1</t>
  </si>
  <si>
    <t>63.6–66.2</t>
  </si>
  <si>
    <t>63.1–65.7</t>
  </si>
  <si>
    <t>68.1–73.1</t>
  </si>
  <si>
    <t>64.9–71.3</t>
  </si>
  <si>
    <t>68.5–75.0</t>
  </si>
  <si>
    <t>65.9–73.3</t>
  </si>
  <si>
    <t>32.9–36.8</t>
  </si>
  <si>
    <t>32.7–36.6</t>
  </si>
  <si>
    <t>35.4–43.0</t>
  </si>
  <si>
    <t>35.3–45.2</t>
  </si>
  <si>
    <t>37.6–46.4</t>
  </si>
  <si>
    <t>37.0–47.5</t>
  </si>
  <si>
    <t>15.7–18.9</t>
  </si>
  <si>
    <t>16.2–19.3</t>
  </si>
  <si>
    <t>18.3–24.9</t>
  </si>
  <si>
    <t>18.3–25.8</t>
  </si>
  <si>
    <t>17.7–25.2</t>
  </si>
  <si>
    <t>17.9–28.3</t>
  </si>
  <si>
    <t>24.7–27.2</t>
  </si>
  <si>
    <t>24.8–27.4</t>
  </si>
  <si>
    <t>27.1–32.7</t>
  </si>
  <si>
    <t>27.5–33.6</t>
  </si>
  <si>
    <t>28.7–34.7</t>
  </si>
  <si>
    <t>28.9–36.4</t>
  </si>
  <si>
    <t>22.1–25.2</t>
  </si>
  <si>
    <t>21.7–24.8</t>
  </si>
  <si>
    <t>25.0–31.9</t>
  </si>
  <si>
    <t>20.6–28.1</t>
  </si>
  <si>
    <t>20.6–29.4</t>
  </si>
  <si>
    <t>18.2–26.2</t>
  </si>
  <si>
    <t>19.9–22.5</t>
  </si>
  <si>
    <t>18.4–21.4</t>
  </si>
  <si>
    <t>20.9–27.6</t>
  </si>
  <si>
    <t>17.0–23.0</t>
  </si>
  <si>
    <t>21.2–29.7</t>
  </si>
  <si>
    <t>17.3–25.2</t>
  </si>
  <si>
    <t>21.3–23.6</t>
  </si>
  <si>
    <t>20.4–22.7</t>
  </si>
  <si>
    <t>24.0–28.5</t>
  </si>
  <si>
    <t>19.7–24.3</t>
  </si>
  <si>
    <t>21.7–28.7</t>
  </si>
  <si>
    <t>18.7–24.3</t>
  </si>
  <si>
    <t>96.9–98.2</t>
  </si>
  <si>
    <t>97.0–98.2</t>
  </si>
  <si>
    <t>93.1–96.7</t>
  </si>
  <si>
    <t>94.3–97.8</t>
  </si>
  <si>
    <t>93.3–97.7</t>
  </si>
  <si>
    <t>94.4–98.1</t>
  </si>
  <si>
    <t>89.9–91.8</t>
  </si>
  <si>
    <t>90.0–92.1</t>
  </si>
  <si>
    <t>85.9–90.5</t>
  </si>
  <si>
    <t>87.3–91.8</t>
  </si>
  <si>
    <t>85.5–91.6</t>
  </si>
  <si>
    <t>85.5–92.0</t>
  </si>
  <si>
    <t>93.6–94.7</t>
  </si>
  <si>
    <t>93.6–94.8</t>
  </si>
  <si>
    <t>89.9–92.8</t>
  </si>
  <si>
    <t>91.4–94.2</t>
  </si>
  <si>
    <t>90.0–94.0</t>
  </si>
  <si>
    <t>90.7–94.5</t>
  </si>
  <si>
    <t>54.3–57.2</t>
  </si>
  <si>
    <t>56.1–60.6</t>
  </si>
  <si>
    <t>51.4–59.6</t>
  </si>
  <si>
    <t>58.7–68.8</t>
  </si>
  <si>
    <t>51.8–57.9</t>
  </si>
  <si>
    <t>55.2–62.2</t>
  </si>
  <si>
    <t>51.4–55.0</t>
  </si>
  <si>
    <t>50.1–58.4</t>
  </si>
  <si>
    <t>48.7–58.6</t>
  </si>
  <si>
    <t>56.5–60.6</t>
  </si>
  <si>
    <t>51.7–61.3</t>
  </si>
  <si>
    <t>60.4–71.2</t>
  </si>
  <si>
    <t>51.9–61.1</t>
  </si>
  <si>
    <t>49.6–60.3</t>
  </si>
  <si>
    <t>54.7–57.6</t>
  </si>
  <si>
    <t>53.4–60.3</t>
  </si>
  <si>
    <t>56.1–63.7</t>
  </si>
  <si>
    <r>
      <rPr>
        <sz val="8"/>
        <rFont val="Arial"/>
        <family val="2"/>
        <scheme val="minor"/>
      </rPr>
      <t>(b) Excludes Very remote areas of Australia. Remoteness areas are defined by the</t>
    </r>
    <r>
      <rPr>
        <u/>
        <sz val="8"/>
        <color theme="10"/>
        <rFont val="Arial"/>
        <family val="2"/>
        <scheme val="minor"/>
      </rPr>
      <t xml:space="preserve"> Australian Statistical Geography Standard (ASGS) Edition 3</t>
    </r>
  </si>
  <si>
    <r>
      <rPr>
        <sz val="8"/>
        <rFont val="Arial"/>
        <family val="2"/>
        <scheme val="minor"/>
      </rPr>
      <t>(b) Excludes Very remote areas. Remoteness areas are defined by the</t>
    </r>
    <r>
      <rPr>
        <u/>
        <sz val="8"/>
        <color theme="10"/>
        <rFont val="Arial"/>
        <family val="2"/>
        <scheme val="minor"/>
      </rPr>
      <t xml:space="preserve"> Australian Statistical Geography Standard (ASGS) Edition 3.</t>
    </r>
  </si>
  <si>
    <r>
      <t xml:space="preserve">Insufficient physical activity </t>
    </r>
    <r>
      <rPr>
        <vertAlign val="superscript"/>
        <sz val="8"/>
        <color theme="1"/>
        <rFont val="Arial"/>
        <family val="2"/>
      </rPr>
      <t>(e)</t>
    </r>
  </si>
  <si>
    <t>(g) Participants who recorded a systolic blood pressure reading of 140mmHg or greater and/or diastolic blood pressure of 90mmHg or greater at the time of interview were counted as having a high blood pressure reading.</t>
  </si>
  <si>
    <t>Table S1: Estimated Resident Population (%) of persons by age residing in Australia, by sex and remoteness area, 2023</t>
  </si>
  <si>
    <t>Dementia including Alzheimer's disease (F01, F03, G30)</t>
  </si>
  <si>
    <t>Coronary heart disease (I20–I25)</t>
  </si>
  <si>
    <t>Cerebrovascular disease (I60–I69)</t>
  </si>
  <si>
    <t>Lung cancer (C33, C34)</t>
  </si>
  <si>
    <t>Diabetes (E10–E14)</t>
  </si>
  <si>
    <t>Colorectal cancer (C18–C20, C26.0)</t>
  </si>
  <si>
    <t>Accidental falls (W00–W19)</t>
  </si>
  <si>
    <t>Heart failure and complications and ill-defined heart disease (I50–I51)</t>
  </si>
  <si>
    <t>Prostate cancer (C61)</t>
  </si>
  <si>
    <t>Suicide (X60–X84, Y87.0)</t>
  </si>
  <si>
    <t>Cancer of unknown or ill-defined primary site (C26, C39, C76–C80 excl. C26.0)</t>
  </si>
  <si>
    <t>Land transport accidents (V01–V89, Y85)</t>
  </si>
  <si>
    <t>Kidney failure (N17–N19)</t>
  </si>
  <si>
    <t>Table S9: Hospitalisations, by remoteness area of usual residence, public and private hospitals, 2013–14 to 2023–24</t>
  </si>
  <si>
    <t>Table S11: Potentially preventable hospitalisation, by remoteness area of usual residence, all hospitals, 2013–14 to 2023–24</t>
  </si>
  <si>
    <t>Source: AIHW analysis of Australian Bureau of Statistics (ABS) Regional population by age and sex, accessed 30 May 2025.</t>
  </si>
  <si>
    <t xml:space="preserve">2. Remoteness area of usual residence is based on the patient's area of residence (provided at Statistical Area Level 2).   </t>
  </si>
  <si>
    <t xml:space="preserve">4. Remoteness area of usual residence is based on the patient's area of residence (provided at Statistical Area Level 2).   </t>
  </si>
  <si>
    <t xml:space="preserve">2. Represents the number of specialist attendances delivered via telehealth to patients who had a Medicare-subsidised referred medical specialist consultation. </t>
  </si>
  <si>
    <t>Nurses and Midwives</t>
  </si>
  <si>
    <t>Occupational Therapists</t>
  </si>
  <si>
    <t>Clinical FTE per 100,000(b)(c)(d)</t>
  </si>
  <si>
    <t>1. Deaths are counted according to year of registration of death, and state or territory of usual residence.</t>
  </si>
  <si>
    <t>2. Deaths registered in 2021 are based on the revised version of cause of death data; deaths registered in 2022 and 2023 are based on the preliminary version. Revised and preliminary versions are subject to further revision by the Australian Bureau of Statistics.</t>
  </si>
  <si>
    <t>3. Rates are expressed as deaths per 100,000 population. Age-standardised rates are directly standardised to the Australian estimated resident population at 30 June 2001.</t>
  </si>
  <si>
    <t xml:space="preserve">4.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</si>
  <si>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5. Geography is based on area of usual residence—Statistical Local Area Level 2 (SA2)—classified according to Remoteness Area 2021. Correspondence files are sourced from Australian Statistical Geography Standard (ASGS) Edition 3: Remoteness Structure (ABS 2021). Unknown/missing includes deaths where place of usual residence was overseas, no fixed abode, offshore and migratory, and undefined.</t>
  </si>
  <si>
    <t>Video conference</t>
  </si>
  <si>
    <t>Telephone</t>
  </si>
  <si>
    <t>Chronic obstructive pulmonary disease (J40–J44)</t>
  </si>
  <si>
    <t>COVID-19 (U07.1, U07.2, U10.9)</t>
  </si>
  <si>
    <t>Other ill-defined causes (R00–R94, R96–R99, I46.9, I95.9, I99, J96.0, J96.9, P28.5)</t>
  </si>
  <si>
    <t xml:space="preserve">Total </t>
  </si>
  <si>
    <t>Table S5: Leading underlying causes of death by remoteness area, 2021–2023</t>
  </si>
  <si>
    <r>
      <t>Table S3: Prevalence of selected chronic conditions, by remoteness area, aged 18 and over, 2022</t>
    </r>
    <r>
      <rPr>
        <b/>
        <vertAlign val="superscript"/>
        <sz val="10"/>
        <color theme="1"/>
        <rFont val="Arial"/>
        <family val="2"/>
      </rPr>
      <t xml:space="preserve">(a)(b)(c)(d)(e)  </t>
    </r>
  </si>
  <si>
    <t>Table S2: Prevalence of health risk factors, population aged 18 and over, by remoteness area, 2022(a)(b)(c)</t>
  </si>
  <si>
    <t>Table S7: Age standardised rate (per 100 population) of telehealth use to see medical specialists, by remoteness area, 2019-20 to 2022-23</t>
  </si>
  <si>
    <t>Table S2: Prevalence of health risk factors, population aged 18 and over, by remoteness area, 2022</t>
  </si>
  <si>
    <t>Table S3: Prevalence of selected chronic conditions, by remoteness area, aged 18 and over, 2022</t>
  </si>
  <si>
    <t>Table S4: Health burden for major diseases and injuries, by remoteness area, 2018</t>
  </si>
  <si>
    <t>Table S6: Potentially avoidable deaths among people aged under 75 by sex and remoteness area, 2021–2023</t>
  </si>
  <si>
    <t xml:space="preserve">3. Attendances without a referral in place, or where the patient receives the attendance outside Medicare and does not claim any Medicare benefit, are not included. Similarly, services to admitted public patients in hospitals are not eligible for any Medicare benefits, and are not included. </t>
  </si>
  <si>
    <t>1. Total includes video conference and telephone appointments.</t>
  </si>
  <si>
    <t>Source: ABS (2023) Microdata: National Health Survey, 2022, AIHW analysis of detailed microdata, accessed 23 March 2024.</t>
  </si>
  <si>
    <t xml:space="preserve">Source: AIHW (2021) Australian Burden of Disease Study: Impact and causes of illness and death in Australia, 2018, AIHW, Australian Government, accessed 29 April 2022. </t>
  </si>
  <si>
    <t xml:space="preserve">(d) The ABS 2022 National Health Survey collected self-reported data on persons who have a current medical condition which has lasted, or is expected to last, for 6 months or more, unless otherwise stated. For more information see  National Health Survey Methodology (ABS 2023a). </t>
  </si>
  <si>
    <t>Table S10: Hospitalisations for rehabilitation care, by remoteness area of usual residence, public and private hospitals, 2013–14 to 2023–24</t>
  </si>
  <si>
    <t>Table S8: Employed health professionals, clinical full-time equivalent rate, by Modified Monash category, 2016–2023</t>
  </si>
  <si>
    <t>(d) Numbers represent not only those in the labour force, but those employed and working in their registered profession.</t>
  </si>
  <si>
    <t>(a) Modified Monash (MM) category is derived from remoteness area of main job where available; otherwise, remoteness area of principal practice is used as a  proxy. If principal practice details are unavailable, Modified Model (MM) category of clinical practice is used.</t>
  </si>
  <si>
    <t xml:space="preserve">(b) Calculations are based on the FTE clinical rate and report the health practitioners working in clinical practice using the Estimated Resident Population of the year of interest. </t>
  </si>
  <si>
    <t xml:space="preserve">(c) Full-time equivalent (FTE) clinical rates are equal to the FTE number per 100,000 population, which is based on total weekly hours worked. For medical practitioners, the standard working week is 40 hours whilst for all other health practitioners the standard week is 38 hours. </t>
  </si>
  <si>
    <t>Sources: Department of Health, Disability and Ageing (2025) Health workforce data tool [data set], health.gov.au, Regional population by age and sex – customised report. Obtained from the ABS via data request on 05/08/2025, accessed 6 August 2025</t>
  </si>
  <si>
    <t>DALY age-standardised rate(a) (per 1,000)</t>
  </si>
  <si>
    <t>(a) DALY (disability-adjusted life years): Measure (in years) of healthy life lost, either through premature death defined as dying before the expected life span at the age of death (YLL) or, equivalently, through living with ill health due to illness or injury (YLD). It is often used synonymously with ‘health loss’. Directly age standardised to the 2001 Australian Standard Population.</t>
  </si>
  <si>
    <r>
      <t>Age-standardised rate</t>
    </r>
    <r>
      <rPr>
        <b/>
        <vertAlign val="superscript"/>
        <sz val="8"/>
        <color theme="1"/>
        <rFont val="Arial"/>
        <family val="2"/>
        <scheme val="minor"/>
      </rPr>
      <t>(a)</t>
    </r>
    <r>
      <rPr>
        <b/>
        <sz val="8"/>
        <color theme="1"/>
        <rFont val="Arial"/>
        <family val="2"/>
        <scheme val="minor"/>
      </rPr>
      <t xml:space="preserve"> per 100,000</t>
    </r>
  </si>
  <si>
    <t>(a) Percents for each remoteness area includes those from Other Territories.</t>
  </si>
  <si>
    <t>Source: AIHW(2025) Deaths in Australia, Australian Government, accessed 21 July 2025.</t>
  </si>
  <si>
    <t>Source: AIHW (2025) Deaths in Australia, AIHW, Australian Government, accessed 15 June 2025.</t>
  </si>
  <si>
    <t>Source:AIHW (2025) Admitted patient care 3. Who used these services? [dataset], AIHW, Australian Government, accessed 11 July 2025.</t>
  </si>
  <si>
    <t>Source: AIHW (2025) Admitted patient care 5. What services were provided? [dataset], AIHW, Australian Government, accessed 11 July 2025.</t>
  </si>
  <si>
    <t>Source: AIHW (2025) Admitted patient care 8. Safety and quality of health systems [dataset], AIHW, Australian Government, accessed 10 July 2025.</t>
  </si>
  <si>
    <t>Source: AIHW analysis of MBS data maintained by the Australia Government Department of Health, Disability and Aged Care; ABS (2011) Australian Demographic Statistics, Jun 2011, ABS website, accessed 29 November 2023; ABS (2023) National, state and territory population, Jun 2022, ABS website, accessed 29 November 2023.</t>
  </si>
  <si>
    <r>
      <t>Table S7: Age standardised rate (per 100 population) of telehealth use to see medical specialists, by remoteness area, 2019</t>
    </r>
    <r>
      <rPr>
        <b/>
        <sz val="10"/>
        <rFont val="Aptos Narrow"/>
        <family val="2"/>
      </rPr>
      <t>–</t>
    </r>
    <r>
      <rPr>
        <b/>
        <sz val="10"/>
        <rFont val="Arial"/>
        <family val="2"/>
        <scheme val="minor"/>
      </rPr>
      <t>20 to 2022–23</t>
    </r>
  </si>
  <si>
    <t>2019–20</t>
  </si>
  <si>
    <t>2020–21</t>
  </si>
  <si>
    <t>2021–22</t>
  </si>
  <si>
    <t>2022–23</t>
  </si>
  <si>
    <t>2013–14</t>
  </si>
  <si>
    <t>2014–15</t>
  </si>
  <si>
    <t>2015–16</t>
  </si>
  <si>
    <t>2016–17</t>
  </si>
  <si>
    <t>2017–18</t>
  </si>
  <si>
    <t>2018–19</t>
  </si>
  <si>
    <t>2023–24</t>
  </si>
  <si>
    <t>1. Separations per 1,000 population are reported directly age–standardised rates based on Australian population as at 30 June of the year of interest, the Australian population as at 30 June 2001 was used as the reference population.</t>
  </si>
  <si>
    <r>
      <t xml:space="preserve">(d)  In 2022, 40.8% of respondents aged 18 years and over did not have their height, weight or both measured. For these respondents, imputation was used to obtain height, weight and BMI scores. For more information see  </t>
    </r>
    <r>
      <rPr>
        <sz val="8"/>
        <rFont val="Arial"/>
        <family val="2"/>
      </rPr>
      <t xml:space="preserve">National Health Survey Methodology (ABS 2023). </t>
    </r>
  </si>
  <si>
    <t xml:space="preserve">(e) Physical activity guidelines are based on Australia’s Physical Activity and Sedentary Behaviour Guidelines (Department of Health 2021) and assessed against the respective age group. For 18–64 year olds, insufficient physical activity is defined as not completing 150 minutes of moderate to vigorous activity on at least 5 days in the last week. For adults aged 65 years and over, did not meet the guidelines is defined as not completing 30 minutes or more of moderate intensity activity on at least 5 days in the last week. Physical activity refers to a combination of exercise and workplace activity (excluding muscle strengthening activities). Exercise includes walking for transport, walking for fitness, sport or recreation, moderate exercise and/or vigorous exercise undertaken in the last week. Workplace activity is physical activity undertaken in the workplace which includes moderate and/or vigorous activity undertaken on a typical work day. For more information see National Health Survey Methodology (ABS 2023). </t>
  </si>
  <si>
    <r>
      <t>(h) In 2022, 39.0% of respondents aged 18 years and over did not have their blood pressure measured. For these respondents, imputation was used to obtain blood pressure. For more information see National Health</t>
    </r>
    <r>
      <rPr>
        <sz val="8"/>
        <rFont val="Arial"/>
        <family val="2"/>
      </rPr>
      <t xml:space="preserve"> Survey Methodology (ABS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</si>
</sst>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0_-;\-* #,##0.0_-;_-* &quot;-&quot;??_-;_-@_-"/>
  </numFmts>
  <fonts count="54">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Calibri"/>
      <family val="2"/>
    </font>
    <font>
      <b/>
      <sz val="14"/>
      <color theme="1"/>
      <name val="Calibri"/>
      <family val="2"/>
    </font>
    <font>
      <b/>
      <sz val="14"/>
      <color theme="1"/>
      <name val="Arial"/>
      <family val="2"/>
      <scheme val="minor"/>
    </font>
    <font>
      <b/>
      <sz val="12"/>
      <color theme="1"/>
      <name val="Arial"/>
      <family val="2"/>
      <scheme val="minor"/>
    </font>
    <font>
      <b/>
      <sz val="10"/>
      <color theme="1"/>
      <name val="Arial"/>
      <family val="2"/>
    </font>
    <font>
      <b/>
      <vertAlign val="superscript"/>
      <sz val="10"/>
      <color theme="1"/>
      <name val="Arial"/>
      <family val="2"/>
    </font>
    <font>
      <b/>
      <sz val="8"/>
      <color rgb="FF000000"/>
      <name val="Arial"/>
      <family val="2"/>
    </font>
    <font>
      <b/>
      <vertAlign val="superscript"/>
      <sz val="8"/>
      <color rgb="FF000000"/>
      <name val="Arial"/>
      <family val="2"/>
    </font>
    <font>
      <sz val="8"/>
      <color rgb="FF000000"/>
      <name val="Arial"/>
      <family val="2"/>
    </font>
    <font>
      <vertAlign val="superscript"/>
      <sz val="8"/>
      <color theme="1"/>
      <name val="Arial"/>
      <family val="2"/>
    </font>
    <font>
      <sz val="8"/>
      <name val="Arial"/>
      <family val="2"/>
    </font>
    <font>
      <b/>
      <sz val="8"/>
      <name val="Arial"/>
      <family val="2"/>
    </font>
    <font>
      <b/>
      <vertAlign val="superscript"/>
      <sz val="8"/>
      <color theme="1"/>
      <name val="Arial"/>
      <family val="2"/>
    </font>
    <font>
      <sz val="8"/>
      <color theme="1"/>
      <name val="Arial"/>
      <family val="2"/>
      <scheme val="minor"/>
    </font>
    <font>
      <b/>
      <sz val="8"/>
      <color theme="1"/>
      <name val="Arial"/>
      <family val="2"/>
      <scheme val="minor"/>
    </font>
    <font>
      <sz val="11"/>
      <color theme="1"/>
      <name val="Arial"/>
      <family val="2"/>
      <scheme val="minor"/>
    </font>
    <font>
      <sz val="8"/>
      <name val="FrnkGothITC Bk BT"/>
      <family val="2"/>
    </font>
    <font>
      <sz val="8"/>
      <name val="Arial"/>
      <family val="2"/>
      <scheme val="minor"/>
    </font>
    <font>
      <b/>
      <vertAlign val="superscript"/>
      <sz val="8"/>
      <color theme="1"/>
      <name val="Arial"/>
      <family val="2"/>
      <scheme val="minor"/>
    </font>
    <font>
      <u/>
      <sz val="8"/>
      <color theme="10"/>
      <name val="Arial"/>
      <family val="2"/>
      <scheme val="minor"/>
    </font>
    <font>
      <sz val="11"/>
      <color rgb="FFFF0000"/>
      <name val="Arial"/>
      <family val="2"/>
      <scheme val="minor"/>
    </font>
    <font>
      <sz val="8"/>
      <color rgb="FFFF0000"/>
      <name val="Arial"/>
      <family val="2"/>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rgb="FF9C6500"/>
      <name val="Arial"/>
      <family val="2"/>
      <scheme val="minor"/>
    </font>
    <font>
      <sz val="11"/>
      <name val="Calibri"/>
      <family val="2"/>
    </font>
    <font>
      <sz val="8"/>
      <name val="Microsoft Sans Serif"/>
      <family val="2"/>
    </font>
    <font>
      <u/>
      <sz val="11"/>
      <color theme="10"/>
      <name val="Arial"/>
      <family val="2"/>
    </font>
    <font>
      <b/>
      <sz val="8"/>
      <color rgb="FFFF0000"/>
      <name val="Arial"/>
      <family val="2"/>
      <scheme val="minor"/>
    </font>
    <font>
      <sz val="8"/>
      <color rgb="FFFF0000"/>
      <name val="Arial"/>
      <family val="2"/>
      <scheme val="minor"/>
    </font>
    <font>
      <i/>
      <sz val="8"/>
      <name val="Arial"/>
      <family val="2"/>
      <scheme val="minor"/>
    </font>
    <font>
      <sz val="11"/>
      <color theme="1"/>
      <name val="Arial"/>
      <family val="2"/>
      <scheme val="major"/>
    </font>
    <font>
      <b/>
      <sz val="10"/>
      <color theme="1"/>
      <name val="Arial"/>
      <family val="2"/>
      <scheme val="minor"/>
    </font>
    <font>
      <b/>
      <sz val="10"/>
      <name val="Arial"/>
      <family val="2"/>
      <scheme val="minor"/>
    </font>
    <font>
      <b/>
      <sz val="10"/>
      <name val="Aptos Narrow"/>
      <family val="2"/>
    </font>
  </fonts>
  <fills count="37">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
      <patternFill patternType="solid">
        <fgColor theme="0"/>
        <bgColor rgb="FF000000"/>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1">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43" fontId="22" fillId="0" borderId="0" applyFont="0" applyFill="0" applyBorder="0" applyAlignment="0" applyProtection="0"/>
    <xf numFmtId="0" fontId="23" fillId="0" borderId="0">
      <alignment horizontal="right"/>
    </xf>
    <xf numFmtId="0" fontId="23" fillId="0" borderId="0">
      <alignment horizontal="right"/>
    </xf>
    <xf numFmtId="0" fontId="29" fillId="0" borderId="0" applyNumberFormat="0" applyFill="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10" borderId="7" applyNumberFormat="0" applyAlignment="0" applyProtection="0"/>
    <xf numFmtId="0" fontId="36" fillId="11" borderId="8" applyNumberFormat="0" applyAlignment="0" applyProtection="0"/>
    <xf numFmtId="0" fontId="37" fillId="11" borderId="7" applyNumberFormat="0" applyAlignment="0" applyProtection="0"/>
    <xf numFmtId="0" fontId="38" fillId="0" borderId="9" applyNumberFormat="0" applyFill="0" applyAlignment="0" applyProtection="0"/>
    <xf numFmtId="0" fontId="39" fillId="12" borderId="10" applyNumberFormat="0" applyAlignment="0" applyProtection="0"/>
    <xf numFmtId="0" fontId="27" fillId="0" borderId="0" applyNumberFormat="0" applyFill="0" applyBorder="0" applyAlignment="0" applyProtection="0"/>
    <xf numFmtId="0" fontId="22" fillId="13" borderId="11" applyNumberFormat="0" applyFont="0" applyAlignment="0" applyProtection="0"/>
    <xf numFmtId="0" fontId="40" fillId="0" borderId="0" applyNumberFormat="0" applyFill="0" applyBorder="0" applyAlignment="0" applyProtection="0"/>
    <xf numFmtId="0" fontId="41" fillId="0" borderId="12" applyNumberFormat="0" applyFill="0" applyAlignment="0" applyProtection="0"/>
    <xf numFmtId="0" fontId="4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2" fillId="22" borderId="0" applyNumberFormat="0" applyBorder="0" applyAlignment="0" applyProtection="0"/>
    <xf numFmtId="0" fontId="22" fillId="3" borderId="0" applyNumberFormat="0" applyBorder="0" applyAlignment="0" applyProtection="0"/>
    <xf numFmtId="0" fontId="22" fillId="23" borderId="0" applyNumberFormat="0" applyBorder="0" applyAlignment="0" applyProtection="0"/>
    <xf numFmtId="0" fontId="42"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42" fillId="29" borderId="0" applyNumberFormat="0" applyBorder="0" applyAlignment="0" applyProtection="0"/>
    <xf numFmtId="0" fontId="22" fillId="30" borderId="0" applyNumberFormat="0" applyBorder="0" applyAlignment="0" applyProtection="0"/>
    <xf numFmtId="0" fontId="22" fillId="31" borderId="0" applyNumberFormat="0" applyBorder="0" applyAlignment="0" applyProtection="0"/>
    <xf numFmtId="0" fontId="42" fillId="33"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43" fontId="22" fillId="0" borderId="0" applyFont="0" applyFill="0" applyBorder="0" applyAlignment="0" applyProtection="0"/>
    <xf numFmtId="0" fontId="43" fillId="9" borderId="0" applyNumberFormat="0" applyBorder="0" applyAlignment="0" applyProtection="0"/>
    <xf numFmtId="0" fontId="17" fillId="0" borderId="0">
      <alignment horizontal="right"/>
    </xf>
    <xf numFmtId="43" fontId="22" fillId="0" borderId="0" applyFont="0" applyFill="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4" borderId="0" applyNumberFormat="0" applyBorder="0" applyAlignment="0" applyProtection="0"/>
    <xf numFmtId="0" fontId="46" fillId="0" borderId="0" applyNumberFormat="0" applyFill="0" applyBorder="0" applyAlignment="0" applyProtection="0"/>
    <xf numFmtId="0" fontId="42" fillId="28" borderId="0" applyNumberFormat="0" applyBorder="0" applyAlignment="0" applyProtection="0"/>
    <xf numFmtId="0" fontId="17" fillId="0" borderId="0">
      <alignment horizontal="right"/>
    </xf>
    <xf numFmtId="0" fontId="42" fillId="32" borderId="0" applyNumberFormat="0" applyBorder="0" applyAlignment="0" applyProtection="0"/>
    <xf numFmtId="0" fontId="42" fillId="36" borderId="0" applyNumberFormat="0" applyBorder="0" applyAlignment="0" applyProtection="0"/>
    <xf numFmtId="0" fontId="44" fillId="0" borderId="0"/>
    <xf numFmtId="0" fontId="45" fillId="0" borderId="0">
      <alignment horizontal="right"/>
    </xf>
    <xf numFmtId="43" fontId="22" fillId="0" borderId="0" applyFont="0" applyFill="0" applyBorder="0" applyAlignment="0" applyProtection="0"/>
  </cellStyleXfs>
  <cellXfs count="202">
    <xf numFmtId="0" fontId="0" fillId="0" borderId="0" xfId="0"/>
    <xf numFmtId="0" fontId="8" fillId="0" borderId="0" xfId="0" applyFont="1"/>
    <xf numFmtId="0" fontId="7" fillId="0" borderId="0" xfId="0" applyFont="1"/>
    <xf numFmtId="0" fontId="9" fillId="0" borderId="0" xfId="0" applyFont="1"/>
    <xf numFmtId="0" fontId="10" fillId="0" borderId="0" xfId="0" applyFont="1"/>
    <xf numFmtId="0" fontId="13" fillId="4" borderId="3" xfId="0" applyFont="1" applyFill="1" applyBorder="1" applyAlignment="1">
      <alignment horizontal="right" vertical="center" wrapText="1"/>
    </xf>
    <xf numFmtId="0" fontId="0" fillId="4" borderId="0" xfId="0" applyFill="1"/>
    <xf numFmtId="0" fontId="2" fillId="4" borderId="0" xfId="0" applyFont="1" applyFill="1" applyAlignment="1">
      <alignment vertical="center" wrapText="1"/>
    </xf>
    <xf numFmtId="164" fontId="2" fillId="4" borderId="0" xfId="0" applyNumberFormat="1" applyFont="1" applyFill="1" applyAlignment="1">
      <alignment wrapText="1"/>
    </xf>
    <xf numFmtId="164" fontId="2" fillId="4" borderId="0" xfId="0" applyNumberFormat="1" applyFont="1" applyFill="1" applyAlignment="1">
      <alignment horizontal="right" wrapText="1"/>
    </xf>
    <xf numFmtId="164" fontId="2" fillId="4" borderId="0" xfId="0" applyNumberFormat="1" applyFont="1" applyFill="1"/>
    <xf numFmtId="164" fontId="2" fillId="4" borderId="0" xfId="0" applyNumberFormat="1" applyFont="1" applyFill="1" applyAlignment="1">
      <alignment horizontal="right"/>
    </xf>
    <xf numFmtId="0" fontId="2" fillId="4" borderId="0" xfId="0" applyFont="1" applyFill="1" applyAlignment="1">
      <alignment wrapText="1"/>
    </xf>
    <xf numFmtId="0" fontId="2" fillId="4" borderId="0" xfId="0" applyFont="1" applyFill="1" applyAlignment="1">
      <alignment horizontal="right"/>
    </xf>
    <xf numFmtId="0" fontId="2" fillId="4" borderId="1" xfId="0" applyFont="1" applyFill="1" applyBorder="1" applyAlignment="1">
      <alignment vertical="center" wrapText="1"/>
    </xf>
    <xf numFmtId="164" fontId="2" fillId="4" borderId="1" xfId="0" applyNumberFormat="1" applyFont="1" applyFill="1" applyBorder="1" applyAlignment="1">
      <alignment horizontal="right"/>
    </xf>
    <xf numFmtId="164" fontId="2" fillId="4" borderId="1" xfId="0" applyNumberFormat="1" applyFont="1" applyFill="1" applyBorder="1"/>
    <xf numFmtId="0" fontId="2" fillId="4" borderId="0" xfId="0" applyFont="1" applyFill="1"/>
    <xf numFmtId="0" fontId="11" fillId="4" borderId="0" xfId="0" applyFont="1" applyFill="1"/>
    <xf numFmtId="0" fontId="13" fillId="4" borderId="2" xfId="0" applyFont="1" applyFill="1" applyBorder="1" applyAlignment="1">
      <alignment horizontal="right" wrapText="1"/>
    </xf>
    <xf numFmtId="164" fontId="2" fillId="4" borderId="2" xfId="0" applyNumberFormat="1" applyFont="1" applyFill="1" applyBorder="1" applyAlignment="1">
      <alignment horizontal="right"/>
    </xf>
    <xf numFmtId="0" fontId="2" fillId="4" borderId="1" xfId="0" applyFont="1" applyFill="1" applyBorder="1"/>
    <xf numFmtId="0" fontId="2" fillId="4" borderId="1" xfId="0" applyFont="1" applyFill="1" applyBorder="1" applyAlignment="1">
      <alignment horizontal="right"/>
    </xf>
    <xf numFmtId="0" fontId="2" fillId="4" borderId="0" xfId="0" applyFont="1" applyFill="1" applyAlignment="1">
      <alignment horizontal="left"/>
    </xf>
    <xf numFmtId="0" fontId="13" fillId="4" borderId="1" xfId="0" applyFont="1" applyFill="1" applyBorder="1" applyAlignment="1">
      <alignment horizontal="right" wrapText="1"/>
    </xf>
    <xf numFmtId="0" fontId="13" fillId="4" borderId="1" xfId="0" applyFont="1" applyFill="1" applyBorder="1" applyAlignment="1">
      <alignment horizontal="right" vertical="center" wrapText="1"/>
    </xf>
    <xf numFmtId="0" fontId="13" fillId="4" borderId="3" xfId="0" applyFont="1" applyFill="1" applyBorder="1" applyAlignment="1">
      <alignment horizontal="right" wrapText="1"/>
    </xf>
    <xf numFmtId="1" fontId="2" fillId="4" borderId="0" xfId="0" applyNumberFormat="1" applyFont="1" applyFill="1" applyAlignment="1">
      <alignment horizontal="right"/>
    </xf>
    <xf numFmtId="1" fontId="2" fillId="4" borderId="1" xfId="0" applyNumberFormat="1" applyFont="1" applyFill="1" applyBorder="1" applyAlignment="1">
      <alignment horizontal="right"/>
    </xf>
    <xf numFmtId="164" fontId="2" fillId="4" borderId="0" xfId="0" applyNumberFormat="1" applyFont="1" applyFill="1" applyAlignment="1">
      <alignment horizontal="right" vertical="center" wrapText="1"/>
    </xf>
    <xf numFmtId="164" fontId="2" fillId="4" borderId="1" xfId="0" applyNumberFormat="1" applyFont="1" applyFill="1" applyBorder="1" applyAlignment="1">
      <alignment horizontal="right" vertical="center" wrapText="1"/>
    </xf>
    <xf numFmtId="0" fontId="13" fillId="4" borderId="1" xfId="0" applyFont="1" applyFill="1" applyBorder="1" applyAlignment="1">
      <alignment vertical="center" wrapText="1"/>
    </xf>
    <xf numFmtId="17" fontId="13" fillId="4" borderId="3" xfId="0" applyNumberFormat="1" applyFont="1" applyFill="1" applyBorder="1" applyAlignment="1">
      <alignment horizontal="right" vertical="center" wrapText="1"/>
    </xf>
    <xf numFmtId="0" fontId="18" fillId="5" borderId="3" xfId="0" applyFont="1" applyFill="1" applyBorder="1" applyAlignment="1">
      <alignment horizontal="right" vertical="center"/>
    </xf>
    <xf numFmtId="0" fontId="13" fillId="5" borderId="3" xfId="0" applyFont="1" applyFill="1" applyBorder="1" applyAlignment="1">
      <alignment horizontal="right" vertical="center"/>
    </xf>
    <xf numFmtId="0" fontId="4" fillId="4" borderId="3" xfId="0" applyFont="1" applyFill="1" applyBorder="1" applyAlignment="1">
      <alignment horizontal="right" vertical="center"/>
    </xf>
    <xf numFmtId="0" fontId="13" fillId="4" borderId="0" xfId="0" applyFont="1" applyFill="1" applyAlignment="1">
      <alignment wrapText="1"/>
    </xf>
    <xf numFmtId="0" fontId="13" fillId="4" borderId="0" xfId="0" applyFont="1" applyFill="1" applyAlignment="1">
      <alignment vertical="center" wrapText="1"/>
    </xf>
    <xf numFmtId="49" fontId="2" fillId="4" borderId="0" xfId="0" applyNumberFormat="1" applyFont="1" applyFill="1" applyAlignment="1">
      <alignment vertical="center" wrapText="1"/>
    </xf>
    <xf numFmtId="49" fontId="2" fillId="4" borderId="1" xfId="0" applyNumberFormat="1" applyFont="1" applyFill="1" applyBorder="1" applyAlignment="1">
      <alignment vertical="center" wrapText="1"/>
    </xf>
    <xf numFmtId="0" fontId="17" fillId="4" borderId="0" xfId="2" quotePrefix="1" applyNumberFormat="1" applyFont="1" applyFill="1" applyAlignment="1">
      <alignment horizontal="left" vertical="top" wrapText="1"/>
    </xf>
    <xf numFmtId="3" fontId="2" fillId="4" borderId="0" xfId="0" applyNumberFormat="1" applyFont="1" applyFill="1" applyAlignment="1">
      <alignment horizontal="right" vertical="center"/>
    </xf>
    <xf numFmtId="164" fontId="2" fillId="4" borderId="0" xfId="0" applyNumberFormat="1" applyFont="1" applyFill="1" applyAlignment="1">
      <alignment horizontal="right" vertical="center"/>
    </xf>
    <xf numFmtId="0" fontId="20" fillId="0" borderId="0" xfId="0" applyFont="1"/>
    <xf numFmtId="0" fontId="2" fillId="4" borderId="0" xfId="0" applyFont="1" applyFill="1" applyAlignment="1">
      <alignment horizontal="center" vertical="center" wrapText="1"/>
    </xf>
    <xf numFmtId="0" fontId="2" fillId="4" borderId="0" xfId="0" applyFont="1" applyFill="1" applyAlignment="1">
      <alignment horizontal="center" wrapText="1"/>
    </xf>
    <xf numFmtId="0" fontId="17" fillId="4" borderId="0" xfId="2" applyNumberFormat="1" applyFont="1" applyFill="1" applyAlignment="1">
      <alignment horizontal="left" vertical="top" wrapText="1"/>
    </xf>
    <xf numFmtId="3" fontId="17" fillId="4" borderId="0" xfId="2" applyNumberFormat="1" applyFont="1" applyFill="1" applyAlignment="1">
      <alignment horizontal="center" wrapText="1"/>
    </xf>
    <xf numFmtId="0" fontId="17" fillId="4" borderId="1" xfId="2" applyNumberFormat="1" applyFont="1" applyFill="1" applyBorder="1" applyAlignment="1">
      <alignment horizontal="left" vertical="top" wrapText="1"/>
    </xf>
    <xf numFmtId="3" fontId="2" fillId="4" borderId="0" xfId="0" applyNumberFormat="1" applyFont="1" applyFill="1" applyAlignment="1">
      <alignment horizontal="left" vertical="center"/>
    </xf>
    <xf numFmtId="0" fontId="0" fillId="0" borderId="0" xfId="0" applyAlignment="1">
      <alignment horizontal="left"/>
    </xf>
    <xf numFmtId="49" fontId="2" fillId="4" borderId="2" xfId="0" applyNumberFormat="1" applyFont="1" applyFill="1" applyBorder="1" applyAlignment="1">
      <alignment vertical="center" wrapText="1"/>
    </xf>
    <xf numFmtId="49" fontId="4" fillId="4" borderId="2"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wrapText="1"/>
    </xf>
    <xf numFmtId="3" fontId="17" fillId="4" borderId="1" xfId="2" applyNumberFormat="1" applyFont="1" applyFill="1" applyBorder="1" applyAlignment="1">
      <alignment horizontal="center" wrapText="1"/>
    </xf>
    <xf numFmtId="0" fontId="17" fillId="4" borderId="0" xfId="2" applyNumberFormat="1" applyFont="1" applyFill="1" applyAlignment="1">
      <alignment vertical="top"/>
    </xf>
    <xf numFmtId="0" fontId="20" fillId="0" borderId="0" xfId="0" applyFont="1" applyAlignment="1">
      <alignment horizontal="left"/>
    </xf>
    <xf numFmtId="0" fontId="21" fillId="0" borderId="3" xfId="0" applyFont="1" applyBorder="1" applyAlignment="1">
      <alignment vertical="center"/>
    </xf>
    <xf numFmtId="0" fontId="21" fillId="4" borderId="3" xfId="0" applyFont="1" applyFill="1" applyBorder="1" applyAlignment="1">
      <alignment horizontal="right" vertical="center" wrapText="1"/>
    </xf>
    <xf numFmtId="164" fontId="20" fillId="0" borderId="0" xfId="0" applyNumberFormat="1" applyFont="1"/>
    <xf numFmtId="1" fontId="17" fillId="0" borderId="0" xfId="0" applyNumberFormat="1" applyFont="1" applyAlignment="1" applyProtection="1">
      <alignment wrapText="1"/>
      <protection hidden="1"/>
    </xf>
    <xf numFmtId="0" fontId="15" fillId="6" borderId="0" xfId="0" applyFont="1" applyFill="1" applyAlignment="1">
      <alignment horizontal="right" vertical="center" wrapText="1"/>
    </xf>
    <xf numFmtId="0" fontId="2" fillId="6" borderId="0" xfId="0" applyFont="1" applyFill="1" applyAlignment="1">
      <alignment horizontal="right" vertical="center" wrapText="1"/>
    </xf>
    <xf numFmtId="0" fontId="2" fillId="6" borderId="0" xfId="0" applyFont="1" applyFill="1" applyAlignment="1">
      <alignment vertical="center" wrapText="1"/>
    </xf>
    <xf numFmtId="166" fontId="2" fillId="6" borderId="0" xfId="9" applyNumberFormat="1" applyFont="1" applyFill="1" applyBorder="1" applyAlignment="1">
      <alignment horizontal="right" vertical="center" wrapText="1"/>
    </xf>
    <xf numFmtId="164" fontId="2" fillId="0" borderId="0" xfId="0" applyNumberFormat="1" applyFont="1" applyAlignment="1">
      <alignment horizontal="right"/>
    </xf>
    <xf numFmtId="0" fontId="2" fillId="0" borderId="0" xfId="0" applyFont="1"/>
    <xf numFmtId="0" fontId="21" fillId="0" borderId="3" xfId="0" applyFont="1" applyBorder="1" applyAlignment="1">
      <alignment horizontal="left" vertical="center"/>
    </xf>
    <xf numFmtId="164" fontId="2" fillId="0" borderId="0" xfId="0" applyNumberFormat="1" applyFont="1" applyAlignment="1">
      <alignment horizontal="right" vertical="center"/>
    </xf>
    <xf numFmtId="164" fontId="15" fillId="4" borderId="0" xfId="0" applyNumberFormat="1" applyFont="1" applyFill="1" applyAlignment="1">
      <alignment horizontal="right" vertical="center"/>
    </xf>
    <xf numFmtId="1" fontId="17" fillId="0" borderId="0" xfId="0" applyNumberFormat="1" applyFont="1" applyAlignment="1" applyProtection="1">
      <alignment horizontal="left" wrapText="1"/>
      <protection hidden="1"/>
    </xf>
    <xf numFmtId="0" fontId="21" fillId="4" borderId="3" xfId="0" applyFont="1" applyFill="1" applyBorder="1" applyAlignment="1">
      <alignment vertical="center"/>
    </xf>
    <xf numFmtId="0" fontId="20" fillId="0" borderId="1" xfId="0" applyFont="1" applyBorder="1"/>
    <xf numFmtId="0" fontId="6" fillId="0" borderId="0" xfId="7"/>
    <xf numFmtId="0" fontId="13" fillId="4" borderId="1" xfId="0" applyFont="1" applyFill="1" applyBorder="1" applyAlignment="1">
      <alignment horizontal="center" wrapText="1"/>
    </xf>
    <xf numFmtId="0" fontId="13" fillId="4" borderId="2" xfId="0" applyFont="1" applyFill="1" applyBorder="1" applyAlignment="1">
      <alignment wrapText="1"/>
    </xf>
    <xf numFmtId="0" fontId="13" fillId="4" borderId="1" xfId="0" applyFont="1" applyFill="1" applyBorder="1" applyAlignment="1">
      <alignment wrapText="1"/>
    </xf>
    <xf numFmtId="0" fontId="13" fillId="4" borderId="0" xfId="0" applyFont="1" applyFill="1" applyAlignment="1">
      <alignment horizontal="left" wrapText="1"/>
    </xf>
    <xf numFmtId="0" fontId="20" fillId="0" borderId="3" xfId="0" applyFont="1" applyBorder="1"/>
    <xf numFmtId="164" fontId="20" fillId="0" borderId="0" xfId="0" applyNumberFormat="1" applyFont="1" applyAlignment="1">
      <alignment horizontal="right"/>
    </xf>
    <xf numFmtId="0" fontId="13" fillId="4" borderId="2" xfId="0" applyFont="1" applyFill="1" applyBorder="1" applyAlignment="1">
      <alignment vertical="center" wrapText="1"/>
    </xf>
    <xf numFmtId="0" fontId="20" fillId="4" borderId="0" xfId="0" applyFont="1" applyFill="1"/>
    <xf numFmtId="164" fontId="20" fillId="0" borderId="1" xfId="0" applyNumberFormat="1" applyFont="1" applyBorder="1" applyAlignment="1">
      <alignment horizontal="right"/>
    </xf>
    <xf numFmtId="164" fontId="20" fillId="0" borderId="1" xfId="0" applyNumberFormat="1" applyFont="1" applyBorder="1"/>
    <xf numFmtId="0" fontId="2" fillId="4" borderId="0" xfId="0" applyFont="1" applyFill="1" applyAlignment="1">
      <alignment horizontal="left" vertical="top" wrapText="1"/>
    </xf>
    <xf numFmtId="0" fontId="0" fillId="4" borderId="0" xfId="0" applyFill="1" applyAlignment="1">
      <alignment horizontal="left"/>
    </xf>
    <xf numFmtId="164" fontId="15" fillId="6" borderId="0" xfId="0" applyNumberFormat="1" applyFont="1" applyFill="1" applyAlignment="1">
      <alignment horizontal="right" vertical="center" wrapText="1"/>
    </xf>
    <xf numFmtId="164" fontId="2" fillId="0" borderId="0" xfId="0" applyNumberFormat="1" applyFont="1"/>
    <xf numFmtId="0" fontId="13" fillId="4" borderId="1" xfId="0" applyFont="1" applyFill="1" applyBorder="1" applyAlignment="1">
      <alignment horizontal="left" wrapText="1"/>
    </xf>
    <xf numFmtId="0" fontId="20" fillId="0" borderId="2" xfId="0" applyFont="1" applyBorder="1"/>
    <xf numFmtId="0" fontId="13" fillId="4" borderId="3" xfId="0" applyFont="1" applyFill="1" applyBorder="1" applyAlignment="1">
      <alignment horizontal="left" wrapText="1"/>
    </xf>
    <xf numFmtId="1" fontId="17" fillId="0" borderId="1" xfId="0" applyNumberFormat="1" applyFont="1" applyBorder="1" applyAlignment="1" applyProtection="1">
      <alignment horizontal="left" wrapText="1"/>
      <protection hidden="1"/>
    </xf>
    <xf numFmtId="3" fontId="2" fillId="4" borderId="0" xfId="0" applyNumberFormat="1" applyFont="1" applyFill="1" applyAlignment="1">
      <alignment horizontal="right" vertical="top"/>
    </xf>
    <xf numFmtId="164" fontId="2" fillId="4" borderId="0" xfId="0" applyNumberFormat="1" applyFont="1" applyFill="1" applyAlignment="1">
      <alignment horizontal="right" vertical="top"/>
    </xf>
    <xf numFmtId="2" fontId="2" fillId="4" borderId="0" xfId="0" applyNumberFormat="1" applyFont="1" applyFill="1" applyAlignment="1">
      <alignment horizontal="right" vertical="top"/>
    </xf>
    <xf numFmtId="0" fontId="28" fillId="0" borderId="0" xfId="0" applyFont="1"/>
    <xf numFmtId="3" fontId="17" fillId="4" borderId="0" xfId="0" applyNumberFormat="1" applyFont="1" applyFill="1" applyAlignment="1">
      <alignment horizontal="left"/>
    </xf>
    <xf numFmtId="164" fontId="15" fillId="0" borderId="0" xfId="0" applyNumberFormat="1" applyFont="1" applyAlignment="1">
      <alignment horizontal="right" vertical="center"/>
    </xf>
    <xf numFmtId="164" fontId="15" fillId="4" borderId="0" xfId="0" applyNumberFormat="1" applyFont="1" applyFill="1" applyAlignment="1">
      <alignment horizontal="left" vertical="center"/>
    </xf>
    <xf numFmtId="164" fontId="2" fillId="0" borderId="1" xfId="9" applyNumberFormat="1" applyFont="1" applyFill="1" applyBorder="1" applyAlignment="1">
      <alignment vertical="center" wrapText="1"/>
    </xf>
    <xf numFmtId="166" fontId="2" fillId="0" borderId="1" xfId="9" applyNumberFormat="1" applyFont="1" applyFill="1" applyBorder="1" applyAlignment="1">
      <alignment horizontal="right" vertical="center" wrapText="1"/>
    </xf>
    <xf numFmtId="164" fontId="15" fillId="0" borderId="1" xfId="0" applyNumberFormat="1" applyFont="1" applyBorder="1" applyAlignment="1">
      <alignment horizontal="right" vertical="center"/>
    </xf>
    <xf numFmtId="166" fontId="2" fillId="0" borderId="0" xfId="9" applyNumberFormat="1" applyFont="1" applyFill="1" applyBorder="1" applyAlignment="1">
      <alignment horizontal="right" vertical="center" wrapText="1"/>
    </xf>
    <xf numFmtId="3" fontId="2" fillId="0" borderId="0" xfId="0" applyNumberFormat="1" applyFont="1" applyAlignment="1">
      <alignment horizontal="right" vertical="center"/>
    </xf>
    <xf numFmtId="2"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164" fontId="2" fillId="0" borderId="0" xfId="0" applyNumberFormat="1" applyFont="1" applyAlignment="1">
      <alignment vertical="center" wrapText="1"/>
    </xf>
    <xf numFmtId="3" fontId="17" fillId="0" borderId="0" xfId="0" applyNumberFormat="1" applyFont="1" applyAlignment="1">
      <alignment horizontal="left"/>
    </xf>
    <xf numFmtId="3" fontId="17" fillId="0" borderId="0" xfId="0" applyNumberFormat="1" applyFont="1" applyAlignment="1">
      <alignment horizontal="right"/>
    </xf>
    <xf numFmtId="0" fontId="20" fillId="4" borderId="0" xfId="0" applyFont="1" applyFill="1" applyAlignment="1">
      <alignment horizontal="center"/>
    </xf>
    <xf numFmtId="0" fontId="21" fillId="4" borderId="3" xfId="0" applyFont="1" applyFill="1" applyBorder="1" applyAlignment="1">
      <alignment horizontal="center" vertical="center"/>
    </xf>
    <xf numFmtId="0" fontId="48" fillId="4" borderId="0" xfId="0" applyFont="1" applyFill="1"/>
    <xf numFmtId="164" fontId="20" fillId="4" borderId="0" xfId="0" applyNumberFormat="1" applyFont="1" applyFill="1"/>
    <xf numFmtId="164" fontId="20" fillId="4" borderId="1" xfId="0" applyNumberFormat="1" applyFont="1" applyFill="1" applyBorder="1"/>
    <xf numFmtId="0" fontId="13" fillId="4" borderId="3" xfId="0" applyFont="1" applyFill="1" applyBorder="1" applyAlignment="1">
      <alignment wrapText="1"/>
    </xf>
    <xf numFmtId="165" fontId="20" fillId="4" borderId="0" xfId="0" applyNumberFormat="1" applyFont="1" applyFill="1"/>
    <xf numFmtId="3" fontId="20" fillId="4" borderId="0" xfId="0" applyNumberFormat="1" applyFont="1" applyFill="1"/>
    <xf numFmtId="3" fontId="48" fillId="4" borderId="0" xfId="0" applyNumberFormat="1" applyFont="1" applyFill="1"/>
    <xf numFmtId="0" fontId="20" fillId="4" borderId="2" xfId="0" applyFont="1" applyFill="1" applyBorder="1"/>
    <xf numFmtId="1" fontId="17" fillId="4" borderId="0" xfId="0" applyNumberFormat="1" applyFont="1" applyFill="1" applyAlignment="1" applyProtection="1">
      <alignment horizontal="left" wrapText="1"/>
      <protection hidden="1"/>
    </xf>
    <xf numFmtId="1" fontId="17" fillId="4" borderId="1" xfId="0" applyNumberFormat="1" applyFont="1" applyFill="1" applyBorder="1" applyAlignment="1" applyProtection="1">
      <alignment horizontal="left" wrapText="1"/>
      <protection hidden="1"/>
    </xf>
    <xf numFmtId="0" fontId="21" fillId="4" borderId="1" xfId="0" applyFont="1" applyFill="1" applyBorder="1" applyAlignment="1">
      <alignment horizontal="left" vertical="center"/>
    </xf>
    <xf numFmtId="0" fontId="21" fillId="4" borderId="0" xfId="0" applyFont="1" applyFill="1"/>
    <xf numFmtId="0" fontId="20" fillId="4" borderId="0" xfId="0" applyFont="1" applyFill="1" applyAlignment="1">
      <alignment horizontal="left"/>
    </xf>
    <xf numFmtId="49" fontId="2" fillId="4" borderId="0" xfId="0" applyNumberFormat="1" applyFont="1" applyFill="1" applyAlignment="1">
      <alignment vertical="center"/>
    </xf>
    <xf numFmtId="0" fontId="47" fillId="4" borderId="0" xfId="0" applyFont="1" applyFill="1" applyAlignment="1">
      <alignment horizontal="right" vertical="center" wrapText="1"/>
    </xf>
    <xf numFmtId="0" fontId="11" fillId="4" borderId="1" xfId="0" applyFont="1" applyFill="1" applyBorder="1" applyAlignment="1">
      <alignment wrapText="1"/>
    </xf>
    <xf numFmtId="0" fontId="11" fillId="4" borderId="0" xfId="0" applyFont="1" applyFill="1" applyAlignment="1">
      <alignment horizontal="left" vertical="top"/>
    </xf>
    <xf numFmtId="0" fontId="24" fillId="4" borderId="0" xfId="0" applyFont="1" applyFill="1" applyAlignment="1">
      <alignment vertical="top"/>
    </xf>
    <xf numFmtId="0" fontId="20" fillId="4" borderId="1" xfId="0" applyFont="1" applyFill="1" applyBorder="1" applyAlignment="1">
      <alignment horizontal="center"/>
    </xf>
    <xf numFmtId="0" fontId="20" fillId="4" borderId="1" xfId="0" applyFont="1" applyFill="1" applyBorder="1"/>
    <xf numFmtId="49" fontId="18" fillId="5" borderId="2" xfId="3" applyFont="1" applyFill="1" applyBorder="1" applyAlignment="1"/>
    <xf numFmtId="0" fontId="21" fillId="4" borderId="0" xfId="0" applyFont="1" applyFill="1" applyAlignment="1">
      <alignment horizontal="left"/>
    </xf>
    <xf numFmtId="49" fontId="49" fillId="4" borderId="0" xfId="0" applyNumberFormat="1" applyFont="1" applyFill="1" applyAlignment="1">
      <alignment vertical="top"/>
    </xf>
    <xf numFmtId="165" fontId="24" fillId="4" borderId="0" xfId="2" applyNumberFormat="1" applyFont="1" applyFill="1" applyAlignment="1">
      <alignment horizontal="right" vertical="top"/>
    </xf>
    <xf numFmtId="0" fontId="20" fillId="4" borderId="0" xfId="0" applyFont="1" applyFill="1" applyAlignment="1">
      <alignment vertical="top"/>
    </xf>
    <xf numFmtId="49" fontId="24" fillId="4" borderId="0" xfId="2" quotePrefix="1" applyFont="1" applyFill="1" applyAlignment="1">
      <alignment horizontal="left" vertical="top"/>
    </xf>
    <xf numFmtId="165" fontId="24" fillId="4" borderId="0" xfId="2" applyNumberFormat="1" applyFont="1" applyFill="1" applyAlignment="1">
      <alignment horizontal="right" vertical="top" wrapText="1"/>
    </xf>
    <xf numFmtId="165" fontId="20" fillId="4" borderId="0" xfId="0" applyNumberFormat="1" applyFont="1" applyFill="1" applyAlignment="1">
      <alignment vertical="top"/>
    </xf>
    <xf numFmtId="0" fontId="21" fillId="4" borderId="2" xfId="0" applyFont="1" applyFill="1" applyBorder="1"/>
    <xf numFmtId="0" fontId="4" fillId="4" borderId="0" xfId="0" applyFont="1" applyFill="1"/>
    <xf numFmtId="43" fontId="20" fillId="0" borderId="0" xfId="0" applyNumberFormat="1" applyFont="1"/>
    <xf numFmtId="0" fontId="20" fillId="0" borderId="0" xfId="0" applyFont="1" applyAlignment="1">
      <alignment horizontal="right"/>
    </xf>
    <xf numFmtId="0" fontId="48" fillId="0" borderId="0" xfId="0" applyFont="1"/>
    <xf numFmtId="0" fontId="26" fillId="0" borderId="0" xfId="7" applyFont="1"/>
    <xf numFmtId="0" fontId="50" fillId="0" borderId="0" xfId="0" applyFont="1"/>
    <xf numFmtId="0" fontId="6" fillId="4" borderId="0" xfId="7" applyFill="1" applyAlignment="1">
      <alignment horizontal="left" vertical="top"/>
    </xf>
    <xf numFmtId="0" fontId="6" fillId="4" borderId="0" xfId="7" applyFill="1"/>
    <xf numFmtId="0" fontId="24" fillId="4" borderId="0" xfId="0" applyFont="1" applyFill="1"/>
    <xf numFmtId="164" fontId="24" fillId="4" borderId="0" xfId="0" applyNumberFormat="1" applyFont="1" applyFill="1"/>
    <xf numFmtId="0" fontId="51" fillId="4" borderId="0" xfId="0" applyFont="1" applyFill="1"/>
    <xf numFmtId="2" fontId="20" fillId="0" borderId="0" xfId="0" applyNumberFormat="1" applyFont="1"/>
    <xf numFmtId="165" fontId="20" fillId="0" borderId="0" xfId="0" applyNumberFormat="1" applyFont="1"/>
    <xf numFmtId="165" fontId="24" fillId="4" borderId="0" xfId="0" applyNumberFormat="1" applyFont="1" applyFill="1"/>
    <xf numFmtId="0" fontId="24" fillId="4" borderId="1" xfId="0" applyFont="1" applyFill="1" applyBorder="1"/>
    <xf numFmtId="0" fontId="20" fillId="4" borderId="0" xfId="0" applyFont="1" applyFill="1" applyAlignment="1">
      <alignment horizontal="left" vertical="top"/>
    </xf>
    <xf numFmtId="0" fontId="20" fillId="0" borderId="0" xfId="0" applyFont="1" applyAlignment="1">
      <alignment horizontal="center"/>
    </xf>
    <xf numFmtId="164" fontId="15" fillId="0" borderId="0" xfId="0" applyNumberFormat="1" applyFont="1" applyAlignment="1">
      <alignment horizontal="right" vertical="top" wrapText="1"/>
    </xf>
    <xf numFmtId="164" fontId="15" fillId="0" borderId="1" xfId="0" applyNumberFormat="1" applyFont="1" applyBorder="1" applyAlignment="1">
      <alignment horizontal="right" vertical="top" wrapText="1"/>
    </xf>
    <xf numFmtId="164" fontId="2" fillId="4" borderId="2" xfId="0" applyNumberFormat="1" applyFont="1" applyFill="1" applyBorder="1" applyAlignment="1">
      <alignment vertical="center" wrapText="1"/>
    </xf>
    <xf numFmtId="164" fontId="2" fillId="4" borderId="0" xfId="0" applyNumberFormat="1" applyFont="1" applyFill="1" applyAlignment="1">
      <alignment vertical="center" wrapText="1"/>
    </xf>
    <xf numFmtId="164" fontId="2" fillId="4" borderId="1" xfId="0" applyNumberFormat="1" applyFont="1" applyFill="1" applyBorder="1" applyAlignment="1">
      <alignment vertical="center" wrapText="1"/>
    </xf>
    <xf numFmtId="3" fontId="18" fillId="4" borderId="3" xfId="4" applyNumberFormat="1" applyFont="1" applyFill="1" applyBorder="1" applyAlignment="1">
      <alignment horizontal="center" vertical="center" wrapText="1"/>
    </xf>
    <xf numFmtId="49" fontId="4" fillId="4" borderId="3" xfId="0" applyNumberFormat="1" applyFont="1" applyFill="1" applyBorder="1" applyAlignment="1">
      <alignment horizontal="center" vertical="center"/>
    </xf>
    <xf numFmtId="49" fontId="4" fillId="4" borderId="3" xfId="0" applyNumberFormat="1" applyFont="1" applyFill="1" applyBorder="1" applyAlignment="1">
      <alignment horizontal="center" vertical="center" wrapText="1"/>
    </xf>
    <xf numFmtId="3" fontId="4" fillId="4" borderId="3" xfId="0" applyNumberFormat="1" applyFont="1" applyFill="1" applyBorder="1" applyAlignment="1">
      <alignment horizontal="right" vertical="center" wrapText="1"/>
    </xf>
    <xf numFmtId="165" fontId="4" fillId="4" borderId="3" xfId="0" applyNumberFormat="1" applyFont="1" applyFill="1" applyBorder="1" applyAlignment="1">
      <alignment horizontal="right" vertical="center" wrapText="1"/>
    </xf>
    <xf numFmtId="0" fontId="6" fillId="0" borderId="0" xfId="7" applyAlignment="1">
      <alignment horizontal="left"/>
    </xf>
    <xf numFmtId="0" fontId="6" fillId="4" borderId="0" xfId="7" applyFill="1" applyAlignment="1">
      <alignment horizontal="left"/>
    </xf>
    <xf numFmtId="0" fontId="11" fillId="4" borderId="0" xfId="0" applyFont="1" applyFill="1" applyAlignment="1">
      <alignment horizontal="left"/>
    </xf>
    <xf numFmtId="0" fontId="13" fillId="4" borderId="2" xfId="0" applyFont="1" applyFill="1" applyBorder="1" applyAlignment="1">
      <alignment horizontal="center" wrapText="1"/>
    </xf>
    <xf numFmtId="0" fontId="13" fillId="4" borderId="1" xfId="0" applyFont="1" applyFill="1" applyBorder="1" applyAlignment="1">
      <alignment horizontal="center" wrapText="1"/>
    </xf>
    <xf numFmtId="49" fontId="18" fillId="5" borderId="3" xfId="3" applyFont="1" applyFill="1" applyBorder="1" applyAlignment="1">
      <alignment horizontal="center" vertical="center"/>
    </xf>
    <xf numFmtId="0" fontId="13" fillId="4" borderId="2" xfId="0" applyFont="1" applyFill="1" applyBorder="1" applyAlignment="1">
      <alignment horizontal="center" vertical="center" wrapText="1"/>
    </xf>
    <xf numFmtId="0" fontId="2" fillId="4" borderId="0" xfId="0" applyFont="1" applyFill="1" applyAlignment="1">
      <alignment horizontal="left"/>
    </xf>
    <xf numFmtId="0" fontId="13" fillId="4" borderId="2" xfId="0" applyFont="1" applyFill="1" applyBorder="1" applyAlignment="1">
      <alignment wrapText="1"/>
    </xf>
    <xf numFmtId="0" fontId="13" fillId="4" borderId="0" xfId="0" applyFont="1" applyFill="1" applyAlignment="1">
      <alignment wrapText="1"/>
    </xf>
    <xf numFmtId="0" fontId="13" fillId="4" borderId="1" xfId="0" applyFont="1" applyFill="1" applyBorder="1" applyAlignment="1">
      <alignment wrapText="1"/>
    </xf>
    <xf numFmtId="0" fontId="13" fillId="4" borderId="3" xfId="0" applyFont="1" applyFill="1" applyBorder="1" applyAlignment="1">
      <alignment horizontal="center" wrapText="1"/>
    </xf>
    <xf numFmtId="0" fontId="13" fillId="4" borderId="3" xfId="0" applyFont="1" applyFill="1" applyBorder="1" applyAlignment="1">
      <alignment horizontal="right" wrapText="1"/>
    </xf>
    <xf numFmtId="164" fontId="4" fillId="4" borderId="0" xfId="0" applyNumberFormat="1" applyFont="1" applyFill="1" applyAlignment="1">
      <alignment horizontal="center" vertical="center" wrapText="1"/>
    </xf>
    <xf numFmtId="0" fontId="2" fillId="4" borderId="0" xfId="0" applyFont="1" applyFill="1" applyAlignment="1">
      <alignment horizontal="left" wrapText="1"/>
    </xf>
    <xf numFmtId="0" fontId="26" fillId="4" borderId="0" xfId="7" applyFont="1" applyFill="1" applyAlignment="1">
      <alignment horizontal="left"/>
    </xf>
    <xf numFmtId="0" fontId="2" fillId="0" borderId="0" xfId="0" applyFont="1" applyAlignment="1">
      <alignment horizontal="left" wrapText="1"/>
    </xf>
    <xf numFmtId="0" fontId="2" fillId="4" borderId="0" xfId="0" applyFont="1" applyFill="1" applyAlignment="1">
      <alignment horizontal="left" vertical="top" wrapText="1"/>
    </xf>
    <xf numFmtId="0" fontId="2" fillId="4" borderId="0" xfId="0" applyFont="1" applyFill="1" applyAlignment="1">
      <alignment horizontal="left" vertical="top"/>
    </xf>
    <xf numFmtId="164" fontId="20" fillId="0" borderId="0" xfId="0" applyNumberFormat="1" applyFont="1" applyAlignment="1">
      <alignment horizontal="right"/>
    </xf>
    <xf numFmtId="164" fontId="20" fillId="0" borderId="1" xfId="0" applyNumberFormat="1" applyFont="1" applyBorder="1" applyAlignment="1">
      <alignment horizontal="right"/>
    </xf>
    <xf numFmtId="0" fontId="20" fillId="0" borderId="0" xfId="0" applyFont="1" applyAlignment="1">
      <alignment horizontal="left" wrapText="1"/>
    </xf>
    <xf numFmtId="0" fontId="21" fillId="0" borderId="2" xfId="0" applyFont="1" applyBorder="1" applyAlignment="1">
      <alignment horizontal="center"/>
    </xf>
    <xf numFmtId="0" fontId="21" fillId="0" borderId="3" xfId="0" applyFont="1" applyBorder="1" applyAlignment="1">
      <alignment horizontal="center"/>
    </xf>
    <xf numFmtId="0" fontId="13" fillId="4" borderId="1" xfId="0" applyFont="1" applyFill="1" applyBorder="1" applyAlignment="1">
      <alignment horizontal="right" wrapText="1"/>
    </xf>
    <xf numFmtId="0" fontId="17" fillId="4" borderId="0" xfId="2" applyNumberFormat="1" applyFont="1" applyFill="1" applyAlignment="1">
      <alignment horizontal="left" vertical="top" wrapText="1"/>
    </xf>
    <xf numFmtId="0" fontId="21" fillId="4" borderId="3" xfId="0" applyFont="1" applyFill="1" applyBorder="1" applyAlignment="1">
      <alignment horizontal="center" wrapText="1"/>
    </xf>
    <xf numFmtId="0" fontId="21" fillId="4" borderId="2" xfId="0" applyFont="1" applyFill="1" applyBorder="1" applyAlignment="1">
      <alignment horizontal="center" vertical="center" wrapText="1"/>
    </xf>
    <xf numFmtId="0" fontId="52" fillId="4" borderId="0" xfId="0" applyFont="1" applyFill="1" applyAlignment="1">
      <alignment horizontal="left"/>
    </xf>
    <xf numFmtId="0" fontId="21" fillId="4" borderId="2" xfId="0" applyFont="1" applyFill="1" applyBorder="1" applyAlignment="1">
      <alignment horizontal="center"/>
    </xf>
    <xf numFmtId="0" fontId="4" fillId="4" borderId="1" xfId="0" applyFont="1" applyFill="1" applyBorder="1" applyAlignment="1">
      <alignment horizontal="center" vertical="center"/>
    </xf>
    <xf numFmtId="0" fontId="51" fillId="0" borderId="0" xfId="0" applyFont="1" applyAlignment="1">
      <alignment horizontal="left"/>
    </xf>
    <xf numFmtId="0" fontId="21" fillId="0" borderId="1" xfId="0" applyFont="1" applyBorder="1" applyAlignment="1">
      <alignment horizontal="center"/>
    </xf>
    <xf numFmtId="0" fontId="21" fillId="4" borderId="0" xfId="0" applyFont="1" applyFill="1" applyAlignment="1">
      <alignment horizontal="center" vertical="center"/>
    </xf>
  </cellXfs>
  <cellStyles count="61">
    <cellStyle name="20% - Accent1" xfId="29" builtinId="30" customBuiltin="1"/>
    <cellStyle name="20% - Accent2" xfId="32" builtinId="34" customBuiltin="1"/>
    <cellStyle name="20% - Accent3" xfId="35" builtinId="38" customBuiltin="1"/>
    <cellStyle name="20% - Accent3 2" xfId="1" xr:uid="{00000000-0005-0000-0000-000000000000}"/>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50" xr:uid="{D9E655A6-3CE0-44F5-A359-C97D8C0C1555}"/>
    <cellStyle name="60% - Accent2 2" xfId="51" xr:uid="{D25F64BB-634D-40E5-84E2-9BA17334A8C6}"/>
    <cellStyle name="60% - Accent3 2" xfId="52" xr:uid="{23F93771-749A-4976-AFCB-3969AF2520A9}"/>
    <cellStyle name="60% - Accent4 2" xfId="54" xr:uid="{F93D2FB1-9511-4F55-AC9C-006359BDD51D}"/>
    <cellStyle name="60% - Accent5 2" xfId="56" xr:uid="{F2025C1B-CE1A-44AA-BF5D-CB2B22EA66BA}"/>
    <cellStyle name="60% - Accent6 2" xfId="57" xr:uid="{BA3AB627-C267-4A29-9B8D-164AC8DFFE19}"/>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AIHW Body" xfId="2" xr:uid="{00000000-0005-0000-0000-000001000000}"/>
    <cellStyle name="AIHW Caption" xfId="3" xr:uid="{00000000-0005-0000-0000-000002000000}"/>
    <cellStyle name="AIHW Column Heading" xfId="4" xr:uid="{00000000-0005-0000-0000-000003000000}"/>
    <cellStyle name="AIHW Footnote" xfId="5" xr:uid="{00000000-0005-0000-0000-000004000000}"/>
    <cellStyle name="AIHW Upper Level Heading" xfId="6" xr:uid="{00000000-0005-0000-0000-000005000000}"/>
    <cellStyle name="Bad" xfId="18" builtinId="27" customBuiltin="1"/>
    <cellStyle name="Calculation" xfId="21" builtinId="22" customBuiltin="1"/>
    <cellStyle name="Check Cell" xfId="23" builtinId="23" customBuiltin="1"/>
    <cellStyle name="Comma" xfId="9" builtinId="3"/>
    <cellStyle name="Comma 2" xfId="49" xr:uid="{631EB4FA-23CB-45F2-9548-B2F6BD784CAA}"/>
    <cellStyle name="Comma 3" xfId="46" xr:uid="{2E3EF520-EA58-493B-963A-C77B7FA6AB2D}"/>
    <cellStyle name="Comma 4" xfId="60" xr:uid="{583EBD23-A1D7-4903-9062-6A98ED6A620A}"/>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7" builtinId="8"/>
    <cellStyle name="Hyperlink 2" xfId="53" xr:uid="{83374F99-13D5-46CE-9245-3BDD4FFC6A47}"/>
    <cellStyle name="Input" xfId="19" builtinId="20" customBuiltin="1"/>
    <cellStyle name="Linked Cell" xfId="22" builtinId="24" customBuiltin="1"/>
    <cellStyle name="Neutral 2" xfId="47" xr:uid="{353B20C8-AE0C-42EB-A217-EF057F0B0BA5}"/>
    <cellStyle name="Normal" xfId="0" builtinId="0"/>
    <cellStyle name="Normal 2" xfId="58" xr:uid="{58D26821-B51A-4688-AFD2-32510D7D02D2}"/>
    <cellStyle name="Normal 2 2" xfId="8" xr:uid="{00000000-0005-0000-0000-000008000000}"/>
    <cellStyle name="Note" xfId="25" builtinId="10" customBuiltin="1"/>
    <cellStyle name="Output" xfId="20" builtinId="21" customBuiltin="1"/>
    <cellStyle name="Style5" xfId="59" xr:uid="{30ACAFE8-1BDE-4431-AC79-75BF62FA34F0}"/>
    <cellStyle name="Style6 2 2" xfId="11" xr:uid="{C1B25182-0EE7-4043-A57E-9B4F5453925F}"/>
    <cellStyle name="Style7 7" xfId="48" xr:uid="{5BC33310-9593-467F-B34B-52400B59EF9A}"/>
    <cellStyle name="Style7 8" xfId="55" xr:uid="{0D904E60-4887-471E-9B61-7817B90F399B}"/>
    <cellStyle name="Style8 2 2" xfId="10" xr:uid="{D84AB58E-9C23-42EF-AB24-7484BF8B4A7A}"/>
    <cellStyle name="Title" xfId="12" builtinId="15" customBuiltin="1"/>
    <cellStyle name="Total" xfId="27" builtinId="25" customBuiltin="1"/>
    <cellStyle name="Warning Text" xfId="24" builtinId="11" customBuiltin="1"/>
  </cellStyles>
  <dxfs count="0"/>
  <tableStyles count="0" defaultTableStyle="TableStyleMedium2" defaultPivotStyle="PivotStyleLight16"/>
  <colors>
    <mruColors>
      <color rgb="FFFFCC66"/>
      <color rgb="FFFF7C80"/>
      <color rgb="FFFFE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3246120</xdr:colOff>
      <xdr:row>1</xdr:row>
      <xdr:rowOff>13335</xdr:rowOff>
    </xdr:to>
    <xdr:pic>
      <xdr:nvPicPr>
        <xdr:cNvPr id="1101" name="Picture 1" descr="Australian Government. Australian Institute of Health and Welfare" title="logo">
          <a:extLst>
            <a:ext uri="{FF2B5EF4-FFF2-40B4-BE49-F238E27FC236}">
              <a16:creationId xmlns:a16="http://schemas.microsoft.com/office/drawing/2014/main" id="{00000000-0008-0000-0100-00004D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bs.gov.au/statistics/standards/australian-statistical-geography-standard-asgs-edition-3/jul2021-jun2026/remoteness-structure/remoteness-area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bs.gov.au/statistics/standards/australian-statistical-geography-standard-asgs-edition-3/jul2021-jun2026/remoteness-structure/remoteness-area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N33"/>
  <sheetViews>
    <sheetView showGridLines="0" tabSelected="1" zoomScale="90" zoomScaleNormal="90" workbookViewId="0">
      <selection activeCell="B1" sqref="B1"/>
    </sheetView>
  </sheetViews>
  <sheetFormatPr defaultColWidth="9" defaultRowHeight="15"/>
  <cols>
    <col min="1" max="1" width="2.5" style="2" customWidth="1"/>
    <col min="2" max="2" width="98" style="2" customWidth="1"/>
    <col min="3" max="16384" width="9" style="2"/>
  </cols>
  <sheetData>
    <row r="1" spans="2:14" ht="54.75" customHeight="1">
      <c r="B1"/>
    </row>
    <row r="2" spans="2:14">
      <c r="B2"/>
    </row>
    <row r="3" spans="2:14" ht="18.75">
      <c r="B3" s="3" t="s">
        <v>21</v>
      </c>
      <c r="C3" s="1"/>
    </row>
    <row r="4" spans="2:14" ht="18.75">
      <c r="B4" s="3" t="s">
        <v>22</v>
      </c>
      <c r="C4" s="1"/>
    </row>
    <row r="5" spans="2:14">
      <c r="B5"/>
    </row>
    <row r="6" spans="2:14" ht="15.75">
      <c r="B6" s="4" t="s">
        <v>3</v>
      </c>
    </row>
    <row r="7" spans="2:14" s="146" customFormat="1" ht="14.25">
      <c r="B7" s="168" t="s">
        <v>293</v>
      </c>
      <c r="C7" s="168"/>
      <c r="D7" s="168"/>
      <c r="E7" s="168"/>
      <c r="F7" s="168"/>
      <c r="G7" s="168"/>
      <c r="H7" s="168"/>
      <c r="I7" s="168"/>
      <c r="J7" s="168"/>
      <c r="K7" s="168"/>
      <c r="L7" s="168"/>
      <c r="M7" s="168"/>
    </row>
    <row r="8" spans="2:14" s="146" customFormat="1" ht="14.25">
      <c r="B8" s="147" t="s">
        <v>331</v>
      </c>
    </row>
    <row r="9" spans="2:14" s="146" customFormat="1" ht="14.25">
      <c r="B9" s="169" t="s">
        <v>332</v>
      </c>
      <c r="C9" s="169"/>
      <c r="D9" s="169"/>
      <c r="E9" s="169"/>
      <c r="F9" s="169"/>
      <c r="G9" s="169"/>
      <c r="H9" s="169"/>
      <c r="I9" s="169"/>
      <c r="J9" s="169"/>
      <c r="K9" s="169"/>
      <c r="L9" s="169"/>
      <c r="M9" s="169"/>
      <c r="N9" s="169"/>
    </row>
    <row r="10" spans="2:14" s="146" customFormat="1" ht="14.25">
      <c r="B10" s="169" t="s">
        <v>333</v>
      </c>
      <c r="C10" s="169"/>
      <c r="D10" s="169"/>
      <c r="E10" s="169"/>
      <c r="F10" s="169"/>
      <c r="G10" s="169"/>
      <c r="H10" s="169"/>
    </row>
    <row r="11" spans="2:14" s="146" customFormat="1" ht="14.25">
      <c r="B11" s="148" t="s">
        <v>327</v>
      </c>
    </row>
    <row r="12" spans="2:14" s="146" customFormat="1" ht="14.25">
      <c r="B12" s="148" t="s">
        <v>334</v>
      </c>
    </row>
    <row r="13" spans="2:14" s="146" customFormat="1" ht="14.25">
      <c r="B13" s="169" t="s">
        <v>330</v>
      </c>
      <c r="C13" s="169"/>
      <c r="D13" s="169"/>
      <c r="E13" s="169"/>
      <c r="F13" s="169"/>
      <c r="G13" s="169"/>
      <c r="H13" s="169"/>
      <c r="I13" s="169"/>
      <c r="J13" s="169"/>
      <c r="K13" s="169"/>
      <c r="L13" s="169"/>
    </row>
    <row r="14" spans="2:14" s="146" customFormat="1" ht="14.25">
      <c r="B14" s="148" t="s">
        <v>341</v>
      </c>
    </row>
    <row r="15" spans="2:14" s="146" customFormat="1" ht="14.25">
      <c r="B15" s="168" t="s">
        <v>307</v>
      </c>
      <c r="C15" s="168"/>
      <c r="D15" s="168"/>
      <c r="E15" s="168"/>
      <c r="F15" s="168"/>
      <c r="G15" s="168"/>
      <c r="H15" s="168"/>
      <c r="I15" s="168"/>
      <c r="J15" s="168"/>
      <c r="K15" s="168"/>
      <c r="L15" s="168"/>
      <c r="M15" s="168"/>
    </row>
    <row r="16" spans="2:14" s="146" customFormat="1" ht="14.25">
      <c r="B16" s="168" t="s">
        <v>340</v>
      </c>
      <c r="C16" s="168"/>
      <c r="D16" s="168"/>
      <c r="E16" s="168"/>
      <c r="F16" s="168"/>
      <c r="G16" s="168"/>
      <c r="H16" s="168"/>
      <c r="I16" s="168"/>
      <c r="J16" s="168"/>
      <c r="K16" s="168"/>
      <c r="L16" s="168"/>
      <c r="M16" s="168"/>
    </row>
    <row r="17" spans="2:13" s="146" customFormat="1" ht="14.25">
      <c r="B17" s="168" t="s">
        <v>308</v>
      </c>
      <c r="C17" s="168"/>
      <c r="D17" s="168"/>
      <c r="E17" s="168"/>
      <c r="F17" s="168"/>
      <c r="G17" s="168"/>
      <c r="H17" s="168"/>
      <c r="I17" s="168"/>
      <c r="J17" s="168"/>
      <c r="K17" s="168"/>
      <c r="L17" s="168"/>
      <c r="M17" s="168"/>
    </row>
    <row r="18" spans="2:13">
      <c r="B18" s="73"/>
    </row>
    <row r="19" spans="2:13">
      <c r="B19"/>
    </row>
    <row r="20" spans="2:13">
      <c r="B20"/>
    </row>
    <row r="21" spans="2:13">
      <c r="B21"/>
    </row>
    <row r="22" spans="2:13">
      <c r="B22"/>
    </row>
    <row r="23" spans="2:13">
      <c r="B23"/>
    </row>
    <row r="24" spans="2:13">
      <c r="B24"/>
    </row>
    <row r="25" spans="2:13">
      <c r="B25"/>
    </row>
    <row r="26" spans="2:13">
      <c r="B26"/>
    </row>
    <row r="27" spans="2:13">
      <c r="B27"/>
    </row>
    <row r="28" spans="2:13">
      <c r="B28"/>
    </row>
    <row r="29" spans="2:13">
      <c r="B29"/>
    </row>
    <row r="30" spans="2:13">
      <c r="B30"/>
    </row>
    <row r="31" spans="2:13">
      <c r="B31"/>
    </row>
    <row r="32" spans="2:13">
      <c r="B32"/>
    </row>
    <row r="33" spans="2:2">
      <c r="B33"/>
    </row>
  </sheetData>
  <mergeCells count="7">
    <mergeCell ref="B16:M16"/>
    <mergeCell ref="B17:M17"/>
    <mergeCell ref="B7:M7"/>
    <mergeCell ref="B9:N9"/>
    <mergeCell ref="B10:H10"/>
    <mergeCell ref="B13:L13"/>
    <mergeCell ref="B15:M15"/>
  </mergeCells>
  <hyperlinks>
    <hyperlink ref="B7:M7" location="'Table S1'!A1" display="Table S1: Estimated Resident Population (%) of persons by age residing in Australia, by sex and remoteness area, 2023" xr:uid="{7CD47BE8-1B4A-49EB-9366-6AA4F1C53819}"/>
    <hyperlink ref="B8" location="'Table S2'!A1" display="Table S2: Prevalence of health risk factors, population aged 18 and over, by remoteness area, 2022" xr:uid="{1B38CE78-6260-46AD-B4EA-A73339FE9D3E}"/>
    <hyperlink ref="B9:N9" location="'Table S3'!A1" display="Table S3: Prevalence of selected chronic conditions, by remoteness area, aged 18 and over, 2022" xr:uid="{DD285FC9-F586-407C-B72D-414C5F3B3515}"/>
    <hyperlink ref="B10:H10" location="'Table S4'!A1" display="Table S4: Health burden for major diseases and injuries, by remoteness area, 2018" xr:uid="{97039EA2-8686-4DB4-8BCF-D78EA90A5B79}"/>
    <hyperlink ref="B11" location="'Table S5'!A1" display="Table S5: Leading underlying causes of death by remoteness area, 2021–2023" xr:uid="{FA887651-4D58-4B5C-B5C9-7880B36B6652}"/>
    <hyperlink ref="B12" location="'Table S6'!A1" display="Table S6: Potentially avoidable deaths among people aged under 75 by sex and remoteness area, 2021–2023" xr:uid="{C31F9AFC-12DD-41BE-A1C1-1D36E0FB1DDC}"/>
    <hyperlink ref="B13:L13" location="'Table S7'!A1" display="Table S7: Age standardised rate (per 100 population) of telehealth use to see medical specialists, by remoteness area, 2019-20 to 2022-23" xr:uid="{9FDFA936-0A9B-4595-B9AB-0E6BFA4FF4B6}"/>
    <hyperlink ref="B14" location="'Table S8'!A1" display="Table S8: Employed health professionals, clinical full-time equivalent rate, by Modified Monash category, 2016–2023" xr:uid="{83C03ADE-DB17-4D29-A8C0-99741A4AA221}"/>
    <hyperlink ref="B15:M15" location="'Table S9'!A1" display="Table S9: Hospitalisations, by remoteness area of usual residence, public and private hospitals, 2013–14 to 2023–24" xr:uid="{15236C58-1A92-4269-B5CF-9C42F14A305B}"/>
    <hyperlink ref="B16:M16" location="'Table S10'!A1" display="Table S10: Hospitalisations for rehabilitation care, by remoteness area of usual residence, public and private hospitals, 2013–14 to 2023–24" xr:uid="{C7D582E7-9CE4-4115-B9B9-25197456563D}"/>
    <hyperlink ref="B17:M17" location="'Table S11'!A1" display="Table S11: Potentially preventable hospitalisation, by remoteness area of usual residence, all hospitals, 2013–14 to 2023–24" xr:uid="{50697FA3-12B1-438A-B0C0-98791CA2E635}"/>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EDDC-6AEE-4B95-BE52-9D283C17C553}">
  <dimension ref="A1:M21"/>
  <sheetViews>
    <sheetView showGridLines="0" zoomScaleNormal="100" zoomScaleSheetLayoutView="50" workbookViewId="0">
      <selection sqref="A1:L1"/>
    </sheetView>
  </sheetViews>
  <sheetFormatPr defaultRowHeight="14.25"/>
  <cols>
    <col min="1" max="1" width="17.75" customWidth="1"/>
  </cols>
  <sheetData>
    <row r="1" spans="1:13">
      <c r="A1" s="170" t="s">
        <v>293</v>
      </c>
      <c r="B1" s="170"/>
      <c r="C1" s="170"/>
      <c r="D1" s="170"/>
      <c r="E1" s="170"/>
      <c r="F1" s="170"/>
      <c r="G1" s="170"/>
      <c r="H1" s="170"/>
      <c r="I1" s="170"/>
      <c r="J1" s="170"/>
      <c r="K1" s="170"/>
      <c r="L1" s="170"/>
    </row>
    <row r="2" spans="1:13">
      <c r="A2" s="6"/>
      <c r="B2" s="6"/>
      <c r="C2" s="6"/>
      <c r="D2" s="6"/>
      <c r="E2" s="6"/>
      <c r="F2" s="6"/>
      <c r="G2" s="6"/>
      <c r="H2" s="6"/>
      <c r="I2" s="6"/>
      <c r="J2" s="6"/>
      <c r="K2" s="6"/>
      <c r="L2" s="6"/>
    </row>
    <row r="3" spans="1:13">
      <c r="A3" s="171" t="s">
        <v>23</v>
      </c>
      <c r="B3" s="132"/>
      <c r="C3" s="173" t="s">
        <v>24</v>
      </c>
      <c r="D3" s="173"/>
      <c r="E3" s="173"/>
      <c r="F3" s="173"/>
      <c r="G3" s="173"/>
      <c r="H3" s="173"/>
      <c r="I3" s="173"/>
      <c r="J3" s="173"/>
      <c r="K3" s="173"/>
      <c r="L3" s="173"/>
      <c r="M3" s="66"/>
    </row>
    <row r="4" spans="1:13">
      <c r="A4" s="172"/>
      <c r="B4" s="31"/>
      <c r="C4" s="5" t="s">
        <v>25</v>
      </c>
      <c r="D4" s="32" t="s">
        <v>26</v>
      </c>
      <c r="E4" s="33" t="s">
        <v>27</v>
      </c>
      <c r="F4" s="33" t="s">
        <v>28</v>
      </c>
      <c r="G4" s="34" t="s">
        <v>29</v>
      </c>
      <c r="H4" s="35" t="s">
        <v>30</v>
      </c>
      <c r="I4" s="35" t="s">
        <v>31</v>
      </c>
      <c r="J4" s="35" t="s">
        <v>32</v>
      </c>
      <c r="K4" s="35" t="s">
        <v>33</v>
      </c>
      <c r="L4" s="35" t="s">
        <v>34</v>
      </c>
      <c r="M4" s="66"/>
    </row>
    <row r="5" spans="1:13">
      <c r="A5" s="36"/>
      <c r="B5" s="37"/>
      <c r="C5" s="174" t="s">
        <v>54</v>
      </c>
      <c r="D5" s="174"/>
      <c r="E5" s="174"/>
      <c r="F5" s="174"/>
      <c r="G5" s="174"/>
      <c r="H5" s="174"/>
      <c r="I5" s="174"/>
      <c r="J5" s="174"/>
      <c r="K5" s="174"/>
      <c r="L5" s="174"/>
      <c r="M5" s="66"/>
    </row>
    <row r="6" spans="1:13">
      <c r="A6" s="38" t="s">
        <v>35</v>
      </c>
      <c r="B6" s="38" t="s">
        <v>0</v>
      </c>
      <c r="C6" s="158">
        <v>6</v>
      </c>
      <c r="D6" s="158">
        <v>12.7</v>
      </c>
      <c r="E6" s="158">
        <v>13.6</v>
      </c>
      <c r="F6" s="158">
        <v>16</v>
      </c>
      <c r="G6" s="158">
        <v>14.8</v>
      </c>
      <c r="H6" s="158">
        <v>12.3</v>
      </c>
      <c r="I6" s="158">
        <v>10.5</v>
      </c>
      <c r="J6" s="158">
        <v>7.9</v>
      </c>
      <c r="K6" s="158">
        <v>4.8</v>
      </c>
      <c r="L6" s="158">
        <v>1.6</v>
      </c>
      <c r="M6" s="87"/>
    </row>
    <row r="7" spans="1:13">
      <c r="A7" s="38"/>
      <c r="B7" s="38" t="s">
        <v>1</v>
      </c>
      <c r="C7" s="158">
        <v>5.5</v>
      </c>
      <c r="D7" s="158">
        <v>11.7</v>
      </c>
      <c r="E7" s="158">
        <v>12.5</v>
      </c>
      <c r="F7" s="158">
        <v>15.6</v>
      </c>
      <c r="G7" s="158">
        <v>14.7</v>
      </c>
      <c r="H7" s="158">
        <v>12.4</v>
      </c>
      <c r="I7" s="158">
        <v>10.8</v>
      </c>
      <c r="J7" s="158">
        <v>8.6999999999999993</v>
      </c>
      <c r="K7" s="158">
        <v>5.5</v>
      </c>
      <c r="L7" s="158">
        <v>2.4</v>
      </c>
      <c r="M7" s="87"/>
    </row>
    <row r="8" spans="1:13">
      <c r="A8" s="38"/>
      <c r="B8" s="38"/>
      <c r="C8" s="87"/>
      <c r="D8" s="87"/>
      <c r="E8" s="87"/>
      <c r="F8" s="87"/>
      <c r="G8" s="87"/>
      <c r="H8" s="87"/>
      <c r="I8" s="87"/>
      <c r="J8" s="87"/>
      <c r="K8" s="87"/>
      <c r="L8" s="87"/>
      <c r="M8" s="87"/>
    </row>
    <row r="9" spans="1:13">
      <c r="A9" s="38" t="s">
        <v>36</v>
      </c>
      <c r="B9" s="38" t="s">
        <v>0</v>
      </c>
      <c r="C9" s="107">
        <v>5.6</v>
      </c>
      <c r="D9" s="107">
        <v>12.8</v>
      </c>
      <c r="E9" s="107">
        <v>11.8</v>
      </c>
      <c r="F9" s="107">
        <v>11.3</v>
      </c>
      <c r="G9" s="107">
        <v>11.6</v>
      </c>
      <c r="H9" s="107">
        <v>12.1</v>
      </c>
      <c r="I9" s="107">
        <v>13.1</v>
      </c>
      <c r="J9" s="107">
        <v>12.3</v>
      </c>
      <c r="K9" s="107">
        <v>7.4</v>
      </c>
      <c r="L9" s="107">
        <v>2.1</v>
      </c>
      <c r="M9" s="87"/>
    </row>
    <row r="10" spans="1:13">
      <c r="A10" s="38"/>
      <c r="B10" s="38" t="s">
        <v>1</v>
      </c>
      <c r="C10" s="158">
        <v>5.2</v>
      </c>
      <c r="D10" s="158">
        <v>11.9</v>
      </c>
      <c r="E10" s="158">
        <v>10.7</v>
      </c>
      <c r="F10" s="158">
        <v>11.2</v>
      </c>
      <c r="G10" s="158">
        <v>11.9</v>
      </c>
      <c r="H10" s="158">
        <v>12.4</v>
      </c>
      <c r="I10" s="158">
        <v>13.6</v>
      </c>
      <c r="J10" s="158">
        <v>12.6</v>
      </c>
      <c r="K10" s="158">
        <v>7.7</v>
      </c>
      <c r="L10" s="158">
        <v>3</v>
      </c>
      <c r="M10" s="87"/>
    </row>
    <row r="11" spans="1:13">
      <c r="A11" s="38"/>
      <c r="B11" s="38"/>
      <c r="C11" s="87"/>
      <c r="D11" s="87"/>
      <c r="E11" s="87"/>
      <c r="F11" s="87"/>
      <c r="G11" s="87"/>
      <c r="H11" s="87"/>
      <c r="I11" s="87"/>
      <c r="J11" s="87"/>
      <c r="K11" s="87"/>
      <c r="L11" s="87"/>
      <c r="M11" s="87"/>
    </row>
    <row r="12" spans="1:13">
      <c r="A12" s="38" t="s">
        <v>37</v>
      </c>
      <c r="B12" s="38" t="s">
        <v>0</v>
      </c>
      <c r="C12" s="158">
        <v>5.6</v>
      </c>
      <c r="D12" s="158">
        <v>12.6</v>
      </c>
      <c r="E12" s="158">
        <v>11.6</v>
      </c>
      <c r="F12" s="158">
        <v>12</v>
      </c>
      <c r="G12" s="158">
        <v>11.6</v>
      </c>
      <c r="H12" s="158">
        <v>12.2</v>
      </c>
      <c r="I12" s="158">
        <v>13.8</v>
      </c>
      <c r="J12" s="158">
        <v>12.1</v>
      </c>
      <c r="K12" s="158">
        <v>6.7</v>
      </c>
      <c r="L12" s="158">
        <v>1.8</v>
      </c>
      <c r="M12" s="87"/>
    </row>
    <row r="13" spans="1:13">
      <c r="A13" s="38"/>
      <c r="B13" s="38" t="s">
        <v>1</v>
      </c>
      <c r="C13" s="107">
        <v>5.4</v>
      </c>
      <c r="D13" s="107">
        <v>12.1</v>
      </c>
      <c r="E13" s="107">
        <v>10.6</v>
      </c>
      <c r="F13" s="107">
        <v>12.1</v>
      </c>
      <c r="G13" s="107">
        <v>12.2</v>
      </c>
      <c r="H13" s="107">
        <v>12.6</v>
      </c>
      <c r="I13" s="107">
        <v>13.9</v>
      </c>
      <c r="J13" s="107">
        <v>11.7</v>
      </c>
      <c r="K13" s="107">
        <v>6.8</v>
      </c>
      <c r="L13" s="107">
        <v>2.5</v>
      </c>
      <c r="M13" s="87"/>
    </row>
    <row r="14" spans="1:13">
      <c r="A14" s="38"/>
      <c r="B14" s="38"/>
      <c r="C14" s="87"/>
      <c r="D14" s="87"/>
      <c r="E14" s="87"/>
      <c r="F14" s="87"/>
      <c r="G14" s="87"/>
      <c r="H14" s="87"/>
      <c r="I14" s="87"/>
      <c r="J14" s="87"/>
      <c r="K14" s="87"/>
      <c r="L14" s="87"/>
      <c r="M14" s="87"/>
    </row>
    <row r="15" spans="1:13">
      <c r="A15" s="38" t="s">
        <v>38</v>
      </c>
      <c r="B15" s="38" t="s">
        <v>0</v>
      </c>
      <c r="C15" s="158">
        <v>6.6</v>
      </c>
      <c r="D15" s="158">
        <v>13.5</v>
      </c>
      <c r="E15" s="158">
        <v>10.8</v>
      </c>
      <c r="F15" s="158">
        <v>14.3</v>
      </c>
      <c r="G15" s="158">
        <v>13.8</v>
      </c>
      <c r="H15" s="158">
        <v>12.5</v>
      </c>
      <c r="I15" s="158">
        <v>13.2</v>
      </c>
      <c r="J15" s="158">
        <v>9.5</v>
      </c>
      <c r="K15" s="158">
        <v>4.5999999999999996</v>
      </c>
      <c r="L15" s="158">
        <v>1.2</v>
      </c>
      <c r="M15" s="87"/>
    </row>
    <row r="16" spans="1:13">
      <c r="A16" s="38"/>
      <c r="B16" s="38" t="s">
        <v>1</v>
      </c>
      <c r="C16" s="158">
        <v>6.7</v>
      </c>
      <c r="D16" s="158">
        <v>13.7</v>
      </c>
      <c r="E16" s="158">
        <v>10.4</v>
      </c>
      <c r="F16" s="158">
        <v>15.5</v>
      </c>
      <c r="G16" s="158">
        <v>14</v>
      </c>
      <c r="H16" s="158">
        <v>12.5</v>
      </c>
      <c r="I16" s="158">
        <v>12.5</v>
      </c>
      <c r="J16" s="158">
        <v>8.6999999999999993</v>
      </c>
      <c r="K16" s="158">
        <v>4.5</v>
      </c>
      <c r="L16" s="158">
        <v>1.6</v>
      </c>
      <c r="M16" s="87"/>
    </row>
    <row r="17" spans="1:13">
      <c r="A17" s="38"/>
      <c r="B17" s="38"/>
      <c r="C17" s="87"/>
      <c r="D17" s="87"/>
      <c r="E17" s="87"/>
      <c r="F17" s="87"/>
      <c r="G17" s="87"/>
      <c r="H17" s="87"/>
      <c r="I17" s="87"/>
      <c r="J17" s="87"/>
      <c r="K17" s="87"/>
      <c r="L17" s="87"/>
      <c r="M17" s="87"/>
    </row>
    <row r="18" spans="1:13">
      <c r="A18" s="38" t="s">
        <v>39</v>
      </c>
      <c r="B18" s="38" t="s">
        <v>0</v>
      </c>
      <c r="C18" s="107">
        <v>6.6</v>
      </c>
      <c r="D18" s="107">
        <v>14.1</v>
      </c>
      <c r="E18" s="107">
        <v>12.6</v>
      </c>
      <c r="F18" s="107">
        <v>16.7</v>
      </c>
      <c r="G18" s="107">
        <v>14.6</v>
      </c>
      <c r="H18" s="107">
        <v>12.7</v>
      </c>
      <c r="I18" s="107">
        <v>11.7</v>
      </c>
      <c r="J18" s="107">
        <v>7.4</v>
      </c>
      <c r="K18" s="107">
        <v>3</v>
      </c>
      <c r="L18" s="107">
        <v>0.5</v>
      </c>
      <c r="M18" s="87"/>
    </row>
    <row r="19" spans="1:13">
      <c r="A19" s="39"/>
      <c r="B19" s="39" t="s">
        <v>1</v>
      </c>
      <c r="C19" s="159">
        <v>6.9</v>
      </c>
      <c r="D19" s="159">
        <v>14.7</v>
      </c>
      <c r="E19" s="159">
        <v>13.2</v>
      </c>
      <c r="F19" s="159">
        <v>17.2</v>
      </c>
      <c r="G19" s="159">
        <v>14.4</v>
      </c>
      <c r="H19" s="159">
        <v>11.9</v>
      </c>
      <c r="I19" s="159">
        <v>11.1</v>
      </c>
      <c r="J19" s="159">
        <v>6.8</v>
      </c>
      <c r="K19" s="159">
        <v>2.9</v>
      </c>
      <c r="L19" s="159">
        <v>0.8</v>
      </c>
      <c r="M19" s="87"/>
    </row>
    <row r="20" spans="1:13">
      <c r="A20" s="43" t="s">
        <v>350</v>
      </c>
      <c r="C20" s="6"/>
      <c r="D20" s="6"/>
      <c r="E20" s="6"/>
      <c r="F20" s="6"/>
      <c r="G20" s="6"/>
      <c r="H20" s="6"/>
      <c r="I20" s="6"/>
      <c r="J20" s="6"/>
      <c r="K20" s="6"/>
      <c r="L20" s="6"/>
    </row>
    <row r="21" spans="1:13">
      <c r="A21" s="17" t="s">
        <v>309</v>
      </c>
      <c r="B21" s="17"/>
      <c r="C21" s="6"/>
      <c r="D21" s="6"/>
      <c r="E21" s="6"/>
      <c r="F21" s="6"/>
      <c r="G21" s="6"/>
      <c r="H21" s="6"/>
      <c r="I21" s="6"/>
      <c r="J21" s="6"/>
      <c r="K21" s="6"/>
      <c r="L21" s="6"/>
    </row>
  </sheetData>
  <mergeCells count="4">
    <mergeCell ref="A1:L1"/>
    <mergeCell ref="A3:A4"/>
    <mergeCell ref="C3:L3"/>
    <mergeCell ref="C5:L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C8861-DC5E-4C27-A158-9AD8211B165D}">
  <dimension ref="A1:M41"/>
  <sheetViews>
    <sheetView showGridLines="0" zoomScaleNormal="100" workbookViewId="0"/>
  </sheetViews>
  <sheetFormatPr defaultRowHeight="14.25"/>
  <cols>
    <col min="1" max="1" width="31" customWidth="1"/>
    <col min="2" max="2" width="6.625" bestFit="1" customWidth="1"/>
    <col min="3" max="3" width="6.625" customWidth="1"/>
  </cols>
  <sheetData>
    <row r="1" spans="1:13" ht="14.25" customHeight="1">
      <c r="A1" s="128" t="s">
        <v>329</v>
      </c>
      <c r="B1" s="18"/>
      <c r="C1" s="18"/>
      <c r="D1" s="18"/>
      <c r="E1" s="18"/>
      <c r="F1" s="18"/>
      <c r="G1" s="18"/>
      <c r="H1" s="18"/>
      <c r="I1" s="18"/>
      <c r="J1" s="18"/>
      <c r="K1" s="18"/>
      <c r="L1" s="18"/>
      <c r="M1" s="18"/>
    </row>
    <row r="2" spans="1:13">
      <c r="A2" s="127"/>
      <c r="B2" s="127"/>
      <c r="C2" s="127"/>
      <c r="D2" s="127"/>
      <c r="E2" s="127"/>
      <c r="F2" s="127"/>
      <c r="G2" s="127"/>
      <c r="H2" s="127"/>
      <c r="I2" s="127"/>
      <c r="J2" s="127"/>
      <c r="K2" s="127"/>
      <c r="L2" s="127"/>
      <c r="M2" s="127"/>
    </row>
    <row r="3" spans="1:13" ht="24.75" customHeight="1">
      <c r="A3" s="176" t="s">
        <v>4</v>
      </c>
      <c r="B3" s="179" t="s">
        <v>5</v>
      </c>
      <c r="C3" s="179"/>
      <c r="D3" s="179"/>
      <c r="E3" s="179"/>
      <c r="F3" s="179" t="s">
        <v>6</v>
      </c>
      <c r="G3" s="179"/>
      <c r="H3" s="179"/>
      <c r="I3" s="179"/>
      <c r="J3" s="179" t="s">
        <v>7</v>
      </c>
      <c r="K3" s="179"/>
      <c r="L3" s="179"/>
      <c r="M3" s="179"/>
    </row>
    <row r="4" spans="1:13" ht="24.75" customHeight="1">
      <c r="A4" s="177"/>
      <c r="B4" s="179" t="s">
        <v>20</v>
      </c>
      <c r="C4" s="179"/>
      <c r="D4" s="180" t="s">
        <v>19</v>
      </c>
      <c r="E4" s="180"/>
      <c r="F4" s="179" t="s">
        <v>17</v>
      </c>
      <c r="G4" s="179"/>
      <c r="H4" s="180" t="s">
        <v>14</v>
      </c>
      <c r="I4" s="180"/>
      <c r="J4" s="179" t="s">
        <v>17</v>
      </c>
      <c r="K4" s="179"/>
      <c r="L4" s="180" t="s">
        <v>14</v>
      </c>
      <c r="M4" s="180"/>
    </row>
    <row r="5" spans="1:13">
      <c r="A5" s="178"/>
      <c r="B5" s="25" t="s">
        <v>18</v>
      </c>
      <c r="C5" s="25" t="s">
        <v>8</v>
      </c>
      <c r="D5" s="25" t="s">
        <v>15</v>
      </c>
      <c r="E5" s="5" t="s">
        <v>16</v>
      </c>
      <c r="F5" s="5" t="s">
        <v>18</v>
      </c>
      <c r="G5" s="5" t="s">
        <v>8</v>
      </c>
      <c r="H5" s="5" t="s">
        <v>15</v>
      </c>
      <c r="I5" s="5" t="s">
        <v>8</v>
      </c>
      <c r="J5" s="5" t="s">
        <v>18</v>
      </c>
      <c r="K5" s="5" t="s">
        <v>8</v>
      </c>
      <c r="L5" s="5" t="s">
        <v>15</v>
      </c>
      <c r="M5" s="5" t="s">
        <v>16</v>
      </c>
    </row>
    <row r="6" spans="1:13" ht="14.25" customHeight="1">
      <c r="A6" s="6"/>
      <c r="B6" s="171" t="s">
        <v>0</v>
      </c>
      <c r="C6" s="171"/>
      <c r="D6" s="171"/>
      <c r="E6" s="171"/>
      <c r="F6" s="171"/>
      <c r="G6" s="171"/>
      <c r="H6" s="171"/>
      <c r="I6" s="171"/>
      <c r="J6" s="171"/>
      <c r="K6" s="171"/>
      <c r="L6" s="171"/>
      <c r="M6" s="171"/>
    </row>
    <row r="7" spans="1:13" ht="14.25" customHeight="1">
      <c r="A7" s="7" t="s">
        <v>9</v>
      </c>
      <c r="B7" s="29">
        <v>11.438000000000001</v>
      </c>
      <c r="C7" s="29" t="s">
        <v>184</v>
      </c>
      <c r="D7" s="29">
        <v>11.419</v>
      </c>
      <c r="E7" s="29" t="s">
        <v>184</v>
      </c>
      <c r="F7" s="29">
        <v>13.317</v>
      </c>
      <c r="G7" s="29" t="s">
        <v>185</v>
      </c>
      <c r="H7" s="29">
        <v>14.648</v>
      </c>
      <c r="I7" s="29" t="s">
        <v>186</v>
      </c>
      <c r="J7" s="29">
        <v>20.966999999999999</v>
      </c>
      <c r="K7" s="29" t="s">
        <v>187</v>
      </c>
      <c r="L7" s="29">
        <v>21.838999999999999</v>
      </c>
      <c r="M7" s="29" t="s">
        <v>188</v>
      </c>
    </row>
    <row r="8" spans="1:13" ht="14.25" customHeight="1">
      <c r="A8" s="7" t="s">
        <v>111</v>
      </c>
      <c r="B8" s="29">
        <v>70.994</v>
      </c>
      <c r="C8" s="29" t="s">
        <v>200</v>
      </c>
      <c r="D8" s="29">
        <v>70.846000000000004</v>
      </c>
      <c r="E8" s="29" t="s">
        <v>201</v>
      </c>
      <c r="F8" s="29">
        <v>73.665000000000006</v>
      </c>
      <c r="G8" s="29" t="s">
        <v>202</v>
      </c>
      <c r="H8" s="29">
        <v>70.328000000000003</v>
      </c>
      <c r="I8" s="29" t="s">
        <v>203</v>
      </c>
      <c r="J8" s="29">
        <v>74.941000000000003</v>
      </c>
      <c r="K8" s="29" t="s">
        <v>204</v>
      </c>
      <c r="L8" s="29">
        <v>72.442999999999998</v>
      </c>
      <c r="M8" s="29" t="s">
        <v>205</v>
      </c>
    </row>
    <row r="9" spans="1:13" ht="14.25" customHeight="1">
      <c r="A9" s="7" t="s">
        <v>291</v>
      </c>
      <c r="B9" s="29">
        <v>36.5</v>
      </c>
      <c r="C9" s="29" t="s">
        <v>123</v>
      </c>
      <c r="D9" s="29">
        <v>36.299999999999997</v>
      </c>
      <c r="E9" s="29" t="s">
        <v>126</v>
      </c>
      <c r="F9" s="29">
        <v>40.4</v>
      </c>
      <c r="G9" s="29" t="s">
        <v>124</v>
      </c>
      <c r="H9" s="29">
        <v>36.9</v>
      </c>
      <c r="I9" s="29" t="s">
        <v>128</v>
      </c>
      <c r="J9" s="29">
        <v>43.4</v>
      </c>
      <c r="K9" s="29" t="s">
        <v>125</v>
      </c>
      <c r="L9" s="29">
        <v>42.6</v>
      </c>
      <c r="M9" s="29" t="s">
        <v>129</v>
      </c>
    </row>
    <row r="10" spans="1:13" ht="14.25" customHeight="1">
      <c r="A10" s="7" t="s">
        <v>127</v>
      </c>
      <c r="B10" s="29">
        <v>34.828000000000003</v>
      </c>
      <c r="C10" s="29" t="s">
        <v>218</v>
      </c>
      <c r="D10" s="29">
        <v>34.667999999999999</v>
      </c>
      <c r="E10" s="29" t="s">
        <v>219</v>
      </c>
      <c r="F10" s="29">
        <v>39.204999999999998</v>
      </c>
      <c r="G10" s="29" t="s">
        <v>220</v>
      </c>
      <c r="H10" s="29">
        <v>40.238999999999997</v>
      </c>
      <c r="I10" s="29" t="s">
        <v>221</v>
      </c>
      <c r="J10" s="29">
        <v>41.972999999999999</v>
      </c>
      <c r="K10" s="29" t="s">
        <v>222</v>
      </c>
      <c r="L10" s="29">
        <v>42.258000000000003</v>
      </c>
      <c r="M10" s="29" t="s">
        <v>223</v>
      </c>
    </row>
    <row r="11" spans="1:13" ht="14.25" customHeight="1">
      <c r="A11" s="7" t="s">
        <v>112</v>
      </c>
      <c r="B11" s="29">
        <v>23.643000000000001</v>
      </c>
      <c r="C11" s="29" t="s">
        <v>236</v>
      </c>
      <c r="D11" s="29">
        <v>23.241</v>
      </c>
      <c r="E11" s="29" t="s">
        <v>237</v>
      </c>
      <c r="F11" s="29">
        <v>28.466000000000001</v>
      </c>
      <c r="G11" s="29" t="s">
        <v>238</v>
      </c>
      <c r="H11" s="29">
        <v>24.385999999999999</v>
      </c>
      <c r="I11" s="29" t="s">
        <v>239</v>
      </c>
      <c r="J11" s="29">
        <v>24.975000000000001</v>
      </c>
      <c r="K11" s="29" t="s">
        <v>240</v>
      </c>
      <c r="L11" s="29">
        <v>22.199000000000002</v>
      </c>
      <c r="M11" s="29" t="s">
        <v>241</v>
      </c>
    </row>
    <row r="12" spans="1:13" ht="14.25" customHeight="1">
      <c r="A12" s="7" t="s">
        <v>113</v>
      </c>
      <c r="B12" s="29">
        <v>58.314</v>
      </c>
      <c r="C12" s="29" t="s">
        <v>273</v>
      </c>
      <c r="D12" s="29">
        <v>58.536000000000001</v>
      </c>
      <c r="E12" s="29" t="s">
        <v>281</v>
      </c>
      <c r="F12" s="29">
        <v>55.521999999999998</v>
      </c>
      <c r="G12" s="29" t="s">
        <v>274</v>
      </c>
      <c r="H12" s="29">
        <v>56.491999999999997</v>
      </c>
      <c r="I12" s="29" t="s">
        <v>282</v>
      </c>
      <c r="J12" s="29">
        <v>63.781999999999996</v>
      </c>
      <c r="K12" s="29" t="s">
        <v>275</v>
      </c>
      <c r="L12" s="29">
        <v>65.772000000000006</v>
      </c>
      <c r="M12" s="29" t="s">
        <v>283</v>
      </c>
    </row>
    <row r="13" spans="1:13" ht="14.25" customHeight="1">
      <c r="A13" s="7" t="s">
        <v>116</v>
      </c>
      <c r="B13" s="29">
        <v>97.539000000000001</v>
      </c>
      <c r="C13" s="29" t="s">
        <v>254</v>
      </c>
      <c r="D13" s="29">
        <v>97.554000000000002</v>
      </c>
      <c r="E13" s="29" t="s">
        <v>255</v>
      </c>
      <c r="F13" s="29">
        <v>94.872</v>
      </c>
      <c r="G13" s="29" t="s">
        <v>256</v>
      </c>
      <c r="H13" s="29">
        <v>96.052000000000007</v>
      </c>
      <c r="I13" s="29" t="s">
        <v>257</v>
      </c>
      <c r="J13" s="29">
        <v>95.525999999999996</v>
      </c>
      <c r="K13" s="29" t="s">
        <v>258</v>
      </c>
      <c r="L13" s="29">
        <v>96.278999999999996</v>
      </c>
      <c r="M13" s="29" t="s">
        <v>259</v>
      </c>
    </row>
    <row r="14" spans="1:13" ht="14.25" customHeight="1">
      <c r="A14" s="6"/>
      <c r="B14" s="181" t="s">
        <v>1</v>
      </c>
      <c r="C14" s="181"/>
      <c r="D14" s="181"/>
      <c r="E14" s="181"/>
      <c r="F14" s="181"/>
      <c r="G14" s="181"/>
      <c r="H14" s="181"/>
      <c r="I14" s="181"/>
      <c r="J14" s="181"/>
      <c r="K14" s="181"/>
      <c r="L14" s="181"/>
      <c r="M14" s="181"/>
    </row>
    <row r="15" spans="1:13" ht="14.25" customHeight="1">
      <c r="A15" s="7" t="s">
        <v>9</v>
      </c>
      <c r="B15" s="29">
        <v>7.335</v>
      </c>
      <c r="C15" s="29" t="s">
        <v>189</v>
      </c>
      <c r="D15" s="29">
        <v>7.31</v>
      </c>
      <c r="E15" s="29" t="s">
        <v>189</v>
      </c>
      <c r="F15" s="29">
        <v>13.042</v>
      </c>
      <c r="G15" s="29" t="s">
        <v>190</v>
      </c>
      <c r="H15" s="29">
        <v>14.397</v>
      </c>
      <c r="I15" s="29" t="s">
        <v>191</v>
      </c>
      <c r="J15" s="29">
        <v>12.129</v>
      </c>
      <c r="K15" s="29" t="s">
        <v>192</v>
      </c>
      <c r="L15" s="29">
        <v>12.826000000000001</v>
      </c>
      <c r="M15" s="29" t="s">
        <v>193</v>
      </c>
    </row>
    <row r="16" spans="1:13" ht="14.25" customHeight="1">
      <c r="A16" s="7" t="s">
        <v>111</v>
      </c>
      <c r="B16" s="29">
        <v>58.898000000000003</v>
      </c>
      <c r="C16" s="29" t="s">
        <v>206</v>
      </c>
      <c r="D16" s="29">
        <v>58.026000000000003</v>
      </c>
      <c r="E16" s="29" t="s">
        <v>207</v>
      </c>
      <c r="F16" s="29">
        <v>67.784999999999997</v>
      </c>
      <c r="G16" s="29" t="s">
        <v>208</v>
      </c>
      <c r="H16" s="29">
        <v>66.161000000000001</v>
      </c>
      <c r="I16" s="29" t="s">
        <v>209</v>
      </c>
      <c r="J16" s="29">
        <v>68.555000000000007</v>
      </c>
      <c r="K16" s="29" t="s">
        <v>210</v>
      </c>
      <c r="L16" s="29">
        <v>66.680000000000007</v>
      </c>
      <c r="M16" s="29" t="s">
        <v>211</v>
      </c>
    </row>
    <row r="17" spans="1:13" ht="14.25" customHeight="1">
      <c r="A17" s="7" t="s">
        <v>291</v>
      </c>
      <c r="B17" s="29">
        <v>44.6</v>
      </c>
      <c r="C17" s="29" t="s">
        <v>130</v>
      </c>
      <c r="D17" s="29">
        <v>43.8</v>
      </c>
      <c r="E17" s="29" t="s">
        <v>133</v>
      </c>
      <c r="F17" s="29">
        <v>45.5</v>
      </c>
      <c r="G17" s="29" t="s">
        <v>131</v>
      </c>
      <c r="H17" s="29">
        <v>44.8</v>
      </c>
      <c r="I17" s="29" t="s">
        <v>134</v>
      </c>
      <c r="J17" s="29">
        <v>48.6</v>
      </c>
      <c r="K17" s="29" t="s">
        <v>132</v>
      </c>
      <c r="L17" s="29">
        <v>47.1</v>
      </c>
      <c r="M17" s="29" t="s">
        <v>135</v>
      </c>
    </row>
    <row r="18" spans="1:13" ht="14.25" customHeight="1">
      <c r="A18" s="7" t="s">
        <v>127</v>
      </c>
      <c r="B18" s="29">
        <v>17.294</v>
      </c>
      <c r="C18" s="29" t="s">
        <v>224</v>
      </c>
      <c r="D18" s="29">
        <v>17.704000000000001</v>
      </c>
      <c r="E18" s="29" t="s">
        <v>225</v>
      </c>
      <c r="F18" s="29">
        <v>21.576000000000001</v>
      </c>
      <c r="G18" s="29" t="s">
        <v>226</v>
      </c>
      <c r="H18" s="29">
        <v>22.013000000000002</v>
      </c>
      <c r="I18" s="29" t="s">
        <v>227</v>
      </c>
      <c r="J18" s="29">
        <v>21.457999999999998</v>
      </c>
      <c r="K18" s="29" t="s">
        <v>228</v>
      </c>
      <c r="L18" s="29">
        <v>23.082000000000001</v>
      </c>
      <c r="M18" s="29" t="s">
        <v>229</v>
      </c>
    </row>
    <row r="19" spans="1:13" ht="14.25" customHeight="1">
      <c r="A19" s="7" t="s">
        <v>112</v>
      </c>
      <c r="B19" s="29">
        <v>21.245999999999999</v>
      </c>
      <c r="C19" s="29" t="s">
        <v>242</v>
      </c>
      <c r="D19" s="29">
        <v>19.893000000000001</v>
      </c>
      <c r="E19" s="29" t="s">
        <v>243</v>
      </c>
      <c r="F19" s="29">
        <v>24.244</v>
      </c>
      <c r="G19" s="29" t="s">
        <v>244</v>
      </c>
      <c r="H19" s="29">
        <v>20.007000000000001</v>
      </c>
      <c r="I19" s="29" t="s">
        <v>245</v>
      </c>
      <c r="J19" s="29">
        <v>25.457999999999998</v>
      </c>
      <c r="K19" s="29" t="s">
        <v>246</v>
      </c>
      <c r="L19" s="29">
        <v>21.294</v>
      </c>
      <c r="M19" s="29" t="s">
        <v>247</v>
      </c>
    </row>
    <row r="20" spans="1:13" ht="14.25" customHeight="1">
      <c r="A20" s="7" t="s">
        <v>113</v>
      </c>
      <c r="B20" s="29">
        <v>53.682000000000002</v>
      </c>
      <c r="C20" s="29" t="s">
        <v>278</v>
      </c>
      <c r="D20" s="29">
        <v>53.853000000000002</v>
      </c>
      <c r="E20" s="29" t="s">
        <v>284</v>
      </c>
      <c r="F20" s="29">
        <v>54.247</v>
      </c>
      <c r="G20" s="29" t="s">
        <v>279</v>
      </c>
      <c r="H20" s="29">
        <v>56.51</v>
      </c>
      <c r="I20" s="29" t="s">
        <v>284</v>
      </c>
      <c r="J20" s="29">
        <v>53.682000000000002</v>
      </c>
      <c r="K20" s="29" t="s">
        <v>280</v>
      </c>
      <c r="L20" s="29">
        <v>54.960999999999999</v>
      </c>
      <c r="M20" s="29" t="s">
        <v>285</v>
      </c>
    </row>
    <row r="21" spans="1:13" ht="14.25" customHeight="1">
      <c r="A21" s="7" t="s">
        <v>116</v>
      </c>
      <c r="B21" s="29">
        <v>90.864000000000004</v>
      </c>
      <c r="C21" s="29" t="s">
        <v>260</v>
      </c>
      <c r="D21" s="29">
        <v>91.007000000000005</v>
      </c>
      <c r="E21" s="29" t="s">
        <v>261</v>
      </c>
      <c r="F21" s="29">
        <v>88.191999999999993</v>
      </c>
      <c r="G21" s="29" t="s">
        <v>262</v>
      </c>
      <c r="H21" s="29">
        <v>89.581999999999994</v>
      </c>
      <c r="I21" s="29" t="s">
        <v>263</v>
      </c>
      <c r="J21" s="29">
        <v>88.548000000000002</v>
      </c>
      <c r="K21" s="29" t="s">
        <v>264</v>
      </c>
      <c r="L21" s="29">
        <v>88.727000000000004</v>
      </c>
      <c r="M21" s="29" t="s">
        <v>265</v>
      </c>
    </row>
    <row r="22" spans="1:13" ht="14.25" customHeight="1">
      <c r="A22" s="6"/>
      <c r="B22" s="181" t="s">
        <v>2</v>
      </c>
      <c r="C22" s="181"/>
      <c r="D22" s="181"/>
      <c r="E22" s="181"/>
      <c r="F22" s="181"/>
      <c r="G22" s="181"/>
      <c r="H22" s="181"/>
      <c r="I22" s="181"/>
      <c r="J22" s="181"/>
      <c r="K22" s="181"/>
      <c r="L22" s="181"/>
      <c r="M22" s="181"/>
    </row>
    <row r="23" spans="1:13" ht="14.25" customHeight="1">
      <c r="A23" s="7" t="s">
        <v>9</v>
      </c>
      <c r="B23" s="29">
        <v>9.359</v>
      </c>
      <c r="C23" s="29" t="s">
        <v>194</v>
      </c>
      <c r="D23" s="29">
        <v>9.3290000000000006</v>
      </c>
      <c r="E23" s="29" t="s">
        <v>195</v>
      </c>
      <c r="F23" s="29">
        <v>13.172000000000001</v>
      </c>
      <c r="G23" s="29" t="s">
        <v>196</v>
      </c>
      <c r="H23" s="29">
        <v>14.468999999999999</v>
      </c>
      <c r="I23" s="29" t="s">
        <v>197</v>
      </c>
      <c r="J23" s="29">
        <v>16.533999999999999</v>
      </c>
      <c r="K23" s="29" t="s">
        <v>198</v>
      </c>
      <c r="L23" s="29">
        <v>17.501999999999999</v>
      </c>
      <c r="M23" s="29" t="s">
        <v>199</v>
      </c>
    </row>
    <row r="24" spans="1:13" ht="14.25" customHeight="1">
      <c r="A24" s="7" t="s">
        <v>111</v>
      </c>
      <c r="B24" s="29">
        <v>64.900999999999996</v>
      </c>
      <c r="C24" s="29" t="s">
        <v>212</v>
      </c>
      <c r="D24" s="29">
        <v>64.391999999999996</v>
      </c>
      <c r="E24" s="29" t="s">
        <v>213</v>
      </c>
      <c r="F24" s="29">
        <v>70.591999999999999</v>
      </c>
      <c r="G24" s="29" t="s">
        <v>214</v>
      </c>
      <c r="H24" s="29">
        <v>68.126999999999995</v>
      </c>
      <c r="I24" s="29" t="s">
        <v>215</v>
      </c>
      <c r="J24" s="29">
        <v>71.774000000000001</v>
      </c>
      <c r="K24" s="29" t="s">
        <v>216</v>
      </c>
      <c r="L24" s="29">
        <v>69.587000000000003</v>
      </c>
      <c r="M24" s="29" t="s">
        <v>217</v>
      </c>
    </row>
    <row r="25" spans="1:13" ht="14.25" customHeight="1">
      <c r="A25" s="7" t="s">
        <v>291</v>
      </c>
      <c r="B25" s="29">
        <v>40.598999999999997</v>
      </c>
      <c r="C25" s="29" t="s">
        <v>117</v>
      </c>
      <c r="D25" s="29">
        <v>40.091999999999999</v>
      </c>
      <c r="E25" s="29" t="s">
        <v>120</v>
      </c>
      <c r="F25" s="29">
        <v>43.06</v>
      </c>
      <c r="G25" s="29" t="s">
        <v>118</v>
      </c>
      <c r="H25" s="29">
        <v>41.182000000000002</v>
      </c>
      <c r="I25" s="29" t="s">
        <v>121</v>
      </c>
      <c r="J25" s="29">
        <v>46.002000000000002</v>
      </c>
      <c r="K25" s="29" t="s">
        <v>119</v>
      </c>
      <c r="L25" s="29">
        <v>44.838000000000001</v>
      </c>
      <c r="M25" s="29" t="s">
        <v>122</v>
      </c>
    </row>
    <row r="26" spans="1:13" ht="14.25" customHeight="1">
      <c r="A26" s="7" t="s">
        <v>127</v>
      </c>
      <c r="B26" s="29">
        <v>25.962</v>
      </c>
      <c r="C26" s="29" t="s">
        <v>230</v>
      </c>
      <c r="D26" s="29">
        <v>26.103000000000002</v>
      </c>
      <c r="E26" s="29" t="s">
        <v>231</v>
      </c>
      <c r="F26" s="29">
        <v>29.927</v>
      </c>
      <c r="G26" s="29" t="s">
        <v>232</v>
      </c>
      <c r="H26" s="29">
        <v>30.556000000000001</v>
      </c>
      <c r="I26" s="29" t="s">
        <v>233</v>
      </c>
      <c r="J26" s="29">
        <v>31.725999999999999</v>
      </c>
      <c r="K26" s="29" t="s">
        <v>234</v>
      </c>
      <c r="L26" s="29">
        <v>32.685000000000002</v>
      </c>
      <c r="M26" s="29" t="s">
        <v>235</v>
      </c>
    </row>
    <row r="27" spans="1:13" ht="14.25" customHeight="1">
      <c r="A27" s="7" t="s">
        <v>112</v>
      </c>
      <c r="B27" s="29">
        <v>22.434000000000001</v>
      </c>
      <c r="C27" s="29" t="s">
        <v>248</v>
      </c>
      <c r="D27" s="29">
        <v>21.552</v>
      </c>
      <c r="E27" s="29" t="s">
        <v>249</v>
      </c>
      <c r="F27" s="29">
        <v>26.254999999999999</v>
      </c>
      <c r="G27" s="29" t="s">
        <v>250</v>
      </c>
      <c r="H27" s="29">
        <v>21.978000000000002</v>
      </c>
      <c r="I27" s="29" t="s">
        <v>251</v>
      </c>
      <c r="J27" s="29">
        <v>25.216000000000001</v>
      </c>
      <c r="K27" s="29" t="s">
        <v>252</v>
      </c>
      <c r="L27" s="29">
        <v>21.501999999999999</v>
      </c>
      <c r="M27" s="29" t="s">
        <v>253</v>
      </c>
    </row>
    <row r="28" spans="1:13" ht="14.25" customHeight="1">
      <c r="A28" s="7" t="s">
        <v>113</v>
      </c>
      <c r="B28" s="29">
        <v>55.707999999999998</v>
      </c>
      <c r="C28" s="29" t="s">
        <v>272</v>
      </c>
      <c r="D28" s="29">
        <v>56.128999999999998</v>
      </c>
      <c r="E28" s="29" t="s">
        <v>286</v>
      </c>
      <c r="F28" s="29">
        <v>54.85</v>
      </c>
      <c r="G28" s="29" t="s">
        <v>276</v>
      </c>
      <c r="H28" s="29">
        <v>56.863</v>
      </c>
      <c r="I28" s="29" t="s">
        <v>287</v>
      </c>
      <c r="J28" s="29">
        <v>58.716000000000001</v>
      </c>
      <c r="K28" s="29" t="s">
        <v>277</v>
      </c>
      <c r="L28" s="29">
        <v>59.936</v>
      </c>
      <c r="M28" s="29" t="s">
        <v>288</v>
      </c>
    </row>
    <row r="29" spans="1:13" ht="14.25" customHeight="1">
      <c r="A29" s="14" t="s">
        <v>116</v>
      </c>
      <c r="B29" s="30">
        <v>94.156999999999996</v>
      </c>
      <c r="C29" s="30" t="s">
        <v>266</v>
      </c>
      <c r="D29" s="30">
        <v>94.224999999999994</v>
      </c>
      <c r="E29" s="30" t="s">
        <v>267</v>
      </c>
      <c r="F29" s="30">
        <v>91.355999999999995</v>
      </c>
      <c r="G29" s="30" t="s">
        <v>268</v>
      </c>
      <c r="H29" s="30">
        <v>92.753</v>
      </c>
      <c r="I29" s="30" t="s">
        <v>269</v>
      </c>
      <c r="J29" s="30">
        <v>92.025999999999996</v>
      </c>
      <c r="K29" s="30" t="s">
        <v>270</v>
      </c>
      <c r="L29" s="30">
        <v>92.617999999999995</v>
      </c>
      <c r="M29" s="30" t="s">
        <v>271</v>
      </c>
    </row>
    <row r="30" spans="1:13" ht="14.25" customHeight="1">
      <c r="A30" s="17" t="s">
        <v>72</v>
      </c>
      <c r="B30" s="17"/>
      <c r="C30" s="17"/>
      <c r="D30" s="17"/>
      <c r="E30" s="17"/>
      <c r="F30" s="17"/>
      <c r="G30" s="17"/>
      <c r="H30" s="17"/>
      <c r="I30" s="17"/>
      <c r="J30" s="17"/>
      <c r="K30" s="17"/>
      <c r="L30" s="17"/>
      <c r="M30" s="17"/>
    </row>
    <row r="31" spans="1:13">
      <c r="A31" s="175" t="s">
        <v>64</v>
      </c>
      <c r="B31" s="175"/>
      <c r="C31" s="175"/>
      <c r="D31" s="175"/>
      <c r="E31" s="175"/>
      <c r="F31" s="175"/>
      <c r="G31" s="175"/>
      <c r="H31" s="175"/>
      <c r="I31" s="175"/>
      <c r="J31" s="23"/>
      <c r="K31" s="23"/>
      <c r="L31" s="17"/>
      <c r="M31" s="17"/>
    </row>
    <row r="32" spans="1:13">
      <c r="A32" s="183" t="s">
        <v>289</v>
      </c>
      <c r="B32" s="169"/>
      <c r="C32" s="169"/>
      <c r="D32" s="169"/>
      <c r="E32" s="169"/>
      <c r="F32" s="169"/>
      <c r="G32" s="169"/>
      <c r="H32" s="169"/>
      <c r="I32" s="169"/>
      <c r="J32" s="169"/>
      <c r="K32" s="169"/>
      <c r="L32" s="169"/>
      <c r="M32" s="169"/>
    </row>
    <row r="33" spans="1:13" ht="24.75" customHeight="1">
      <c r="A33" s="182" t="s">
        <v>110</v>
      </c>
      <c r="B33" s="182"/>
      <c r="C33" s="182"/>
      <c r="D33" s="182"/>
      <c r="E33" s="182"/>
      <c r="F33" s="182"/>
      <c r="G33" s="182"/>
      <c r="H33" s="182"/>
      <c r="I33" s="182"/>
      <c r="J33" s="182"/>
      <c r="K33" s="182"/>
      <c r="L33" s="182"/>
      <c r="M33" s="182"/>
    </row>
    <row r="34" spans="1:13" ht="21.75" customHeight="1">
      <c r="A34" s="182" t="s">
        <v>370</v>
      </c>
      <c r="B34" s="182"/>
      <c r="C34" s="182"/>
      <c r="D34" s="182"/>
      <c r="E34" s="182"/>
      <c r="F34" s="182"/>
      <c r="G34" s="182"/>
      <c r="H34" s="182"/>
      <c r="I34" s="182"/>
      <c r="J34" s="182"/>
      <c r="K34" s="182"/>
      <c r="L34" s="182"/>
      <c r="M34" s="182"/>
    </row>
    <row r="35" spans="1:13" ht="58.5" customHeight="1">
      <c r="A35" s="184" t="s">
        <v>371</v>
      </c>
      <c r="B35" s="184"/>
      <c r="C35" s="184"/>
      <c r="D35" s="184"/>
      <c r="E35" s="184"/>
      <c r="F35" s="184"/>
      <c r="G35" s="184"/>
      <c r="H35" s="184"/>
      <c r="I35" s="184"/>
      <c r="J35" s="184"/>
      <c r="K35" s="184"/>
      <c r="L35" s="184"/>
      <c r="M35" s="184"/>
    </row>
    <row r="36" spans="1:13" ht="26.25" customHeight="1">
      <c r="A36" s="182" t="s">
        <v>114</v>
      </c>
      <c r="B36" s="182"/>
      <c r="C36" s="182"/>
      <c r="D36" s="182"/>
      <c r="E36" s="182"/>
      <c r="F36" s="182"/>
      <c r="G36" s="182"/>
      <c r="H36" s="182"/>
      <c r="I36" s="182"/>
      <c r="J36" s="182"/>
      <c r="K36" s="182"/>
      <c r="L36" s="182"/>
      <c r="M36" s="182"/>
    </row>
    <row r="37" spans="1:13" ht="17.25" customHeight="1">
      <c r="A37" s="182" t="s">
        <v>292</v>
      </c>
      <c r="B37" s="182"/>
      <c r="C37" s="182"/>
      <c r="D37" s="182"/>
      <c r="E37" s="182"/>
      <c r="F37" s="182"/>
      <c r="G37" s="182"/>
      <c r="H37" s="182"/>
      <c r="I37" s="182"/>
      <c r="J37" s="182"/>
      <c r="K37" s="182"/>
      <c r="L37" s="182"/>
      <c r="M37" s="182"/>
    </row>
    <row r="38" spans="1:13" ht="24" customHeight="1">
      <c r="A38" s="184" t="s">
        <v>372</v>
      </c>
      <c r="B38" s="184"/>
      <c r="C38" s="184"/>
      <c r="D38" s="184"/>
      <c r="E38" s="184"/>
      <c r="F38" s="184"/>
      <c r="G38" s="184"/>
      <c r="H38" s="184"/>
      <c r="I38" s="184"/>
      <c r="J38" s="184"/>
      <c r="K38" s="184"/>
      <c r="L38" s="184"/>
      <c r="M38" s="184"/>
    </row>
    <row r="39" spans="1:13" ht="11.25" customHeight="1">
      <c r="A39" s="175" t="s">
        <v>115</v>
      </c>
      <c r="B39" s="175"/>
      <c r="C39" s="175"/>
      <c r="D39" s="175"/>
      <c r="E39" s="175"/>
      <c r="F39" s="175"/>
      <c r="G39" s="175"/>
      <c r="H39" s="175"/>
      <c r="I39" s="17"/>
      <c r="J39" s="17"/>
      <c r="K39" s="17"/>
      <c r="L39" s="17"/>
      <c r="M39" s="17"/>
    </row>
    <row r="40" spans="1:13" ht="11.25" customHeight="1">
      <c r="A40" s="175" t="s">
        <v>337</v>
      </c>
      <c r="B40" s="175"/>
      <c r="C40" s="175"/>
      <c r="D40" s="175"/>
      <c r="E40" s="175"/>
      <c r="F40" s="175"/>
      <c r="G40" s="175"/>
      <c r="H40" s="175"/>
      <c r="I40" s="17"/>
      <c r="J40" s="17"/>
      <c r="K40" s="17"/>
      <c r="L40" s="17"/>
      <c r="M40" s="17"/>
    </row>
    <row r="41" spans="1:13">
      <c r="A41" s="6"/>
      <c r="B41" s="6"/>
      <c r="C41" s="6"/>
      <c r="D41" s="6"/>
      <c r="E41" s="6"/>
      <c r="F41" s="6"/>
      <c r="G41" s="6"/>
      <c r="H41" s="6"/>
      <c r="I41" s="6"/>
      <c r="J41" s="6"/>
      <c r="K41" s="6"/>
      <c r="L41" s="6"/>
      <c r="M41" s="6"/>
    </row>
  </sheetData>
  <mergeCells count="23">
    <mergeCell ref="A33:M33"/>
    <mergeCell ref="A32:M32"/>
    <mergeCell ref="A40:H40"/>
    <mergeCell ref="A34:M34"/>
    <mergeCell ref="A35:M35"/>
    <mergeCell ref="A36:M36"/>
    <mergeCell ref="A37:M37"/>
    <mergeCell ref="A38:M38"/>
    <mergeCell ref="A39:H39"/>
    <mergeCell ref="A31:I31"/>
    <mergeCell ref="A3:A5"/>
    <mergeCell ref="B3:E3"/>
    <mergeCell ref="F3:I3"/>
    <mergeCell ref="J3:M3"/>
    <mergeCell ref="B4:C4"/>
    <mergeCell ref="D4:E4"/>
    <mergeCell ref="F4:G4"/>
    <mergeCell ref="H4:I4"/>
    <mergeCell ref="J4:K4"/>
    <mergeCell ref="L4:M4"/>
    <mergeCell ref="B14:M14"/>
    <mergeCell ref="B22:M22"/>
    <mergeCell ref="B6:M6"/>
  </mergeCells>
  <hyperlinks>
    <hyperlink ref="A32:M32" r:id="rId1" display="(b) Excludes Very remote areas of Australia. Remoteness areas are defined by the Australian Statistical Geography Standard (ASGS) Edition 3" xr:uid="{A8EC365C-C44A-4AB5-821B-4872A5BB45F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847A-36E0-4806-9429-E70B25D40553}">
  <dimension ref="A1:O28"/>
  <sheetViews>
    <sheetView showGridLines="0" zoomScaleNormal="100" workbookViewId="0">
      <selection sqref="A1:M1"/>
    </sheetView>
  </sheetViews>
  <sheetFormatPr defaultRowHeight="14.25"/>
  <cols>
    <col min="1" max="1" width="30" customWidth="1"/>
    <col min="2" max="2" width="3.5" bestFit="1" customWidth="1"/>
    <col min="3" max="3" width="9.625" bestFit="1" customWidth="1"/>
    <col min="4" max="4" width="12.5" customWidth="1"/>
    <col min="5" max="5" width="8.875" customWidth="1"/>
    <col min="7" max="7" width="9.625" bestFit="1" customWidth="1"/>
  </cols>
  <sheetData>
    <row r="1" spans="1:15" ht="14.25" customHeight="1">
      <c r="A1" s="170" t="s">
        <v>328</v>
      </c>
      <c r="B1" s="170"/>
      <c r="C1" s="170"/>
      <c r="D1" s="170"/>
      <c r="E1" s="170"/>
      <c r="F1" s="170"/>
      <c r="G1" s="170"/>
      <c r="H1" s="170"/>
      <c r="I1" s="170"/>
      <c r="J1" s="170"/>
      <c r="K1" s="170"/>
      <c r="L1" s="170"/>
      <c r="M1" s="170"/>
      <c r="N1" s="18"/>
    </row>
    <row r="2" spans="1:15">
      <c r="A2" s="6"/>
      <c r="B2" s="6"/>
      <c r="C2" s="6"/>
      <c r="D2" s="6"/>
      <c r="E2" s="6"/>
      <c r="F2" s="6"/>
      <c r="G2" s="6"/>
      <c r="H2" s="6"/>
      <c r="I2" s="6"/>
      <c r="J2" s="6"/>
      <c r="K2" s="6"/>
      <c r="L2" s="6"/>
      <c r="M2" s="6"/>
      <c r="N2" s="6"/>
    </row>
    <row r="3" spans="1:15">
      <c r="A3" s="176" t="s">
        <v>10</v>
      </c>
      <c r="B3" s="179" t="s">
        <v>5</v>
      </c>
      <c r="C3" s="179"/>
      <c r="D3" s="179"/>
      <c r="E3" s="179"/>
      <c r="F3" s="179" t="s">
        <v>6</v>
      </c>
      <c r="G3" s="179"/>
      <c r="H3" s="179"/>
      <c r="I3" s="179"/>
      <c r="J3" s="179" t="s">
        <v>7</v>
      </c>
      <c r="K3" s="179"/>
      <c r="L3" s="179"/>
      <c r="M3" s="179"/>
      <c r="N3" s="6"/>
    </row>
    <row r="4" spans="1:15">
      <c r="A4" s="177"/>
      <c r="B4" s="179" t="s">
        <v>17</v>
      </c>
      <c r="C4" s="179"/>
      <c r="D4" s="180" t="s">
        <v>14</v>
      </c>
      <c r="E4" s="180"/>
      <c r="F4" s="179" t="s">
        <v>17</v>
      </c>
      <c r="G4" s="179"/>
      <c r="H4" s="180" t="s">
        <v>19</v>
      </c>
      <c r="I4" s="180"/>
      <c r="J4" s="179" t="s">
        <v>17</v>
      </c>
      <c r="K4" s="179"/>
      <c r="L4" s="180" t="s">
        <v>14</v>
      </c>
      <c r="M4" s="180"/>
      <c r="N4" s="6"/>
    </row>
    <row r="5" spans="1:15" ht="14.25" customHeight="1">
      <c r="A5" s="178"/>
      <c r="B5" s="24" t="s">
        <v>15</v>
      </c>
      <c r="C5" s="26" t="s">
        <v>16</v>
      </c>
      <c r="D5" s="19" t="s">
        <v>15</v>
      </c>
      <c r="E5" s="19" t="s">
        <v>16</v>
      </c>
      <c r="F5" s="19" t="s">
        <v>18</v>
      </c>
      <c r="G5" s="19" t="s">
        <v>16</v>
      </c>
      <c r="H5" s="19" t="s">
        <v>18</v>
      </c>
      <c r="I5" s="19" t="s">
        <v>8</v>
      </c>
      <c r="J5" s="19" t="s">
        <v>18</v>
      </c>
      <c r="K5" s="19" t="s">
        <v>8</v>
      </c>
      <c r="L5" s="19" t="s">
        <v>15</v>
      </c>
      <c r="M5" s="19" t="s">
        <v>8</v>
      </c>
      <c r="N5" s="6"/>
    </row>
    <row r="6" spans="1:15" ht="14.25" customHeight="1">
      <c r="A6" s="17" t="s">
        <v>103</v>
      </c>
      <c r="B6" s="11">
        <v>16.414999999999999</v>
      </c>
      <c r="C6" s="11" t="s">
        <v>136</v>
      </c>
      <c r="D6" s="20">
        <v>15.288</v>
      </c>
      <c r="E6" s="20" t="s">
        <v>160</v>
      </c>
      <c r="F6" s="20">
        <v>25.43</v>
      </c>
      <c r="G6" s="20" t="s">
        <v>144</v>
      </c>
      <c r="H6" s="20">
        <v>19.498999999999999</v>
      </c>
      <c r="I6" s="20" t="s">
        <v>168</v>
      </c>
      <c r="J6" s="20">
        <v>24.263999999999999</v>
      </c>
      <c r="K6" s="20" t="s">
        <v>152</v>
      </c>
      <c r="L6" s="20">
        <v>18.228999999999999</v>
      </c>
      <c r="M6" s="20" t="s">
        <v>176</v>
      </c>
      <c r="N6" s="6"/>
    </row>
    <row r="7" spans="1:15" ht="14.25" customHeight="1">
      <c r="A7" s="17" t="s">
        <v>11</v>
      </c>
      <c r="B7" s="10">
        <v>11.211</v>
      </c>
      <c r="C7" s="11" t="s">
        <v>137</v>
      </c>
      <c r="D7" s="11">
        <v>11.227</v>
      </c>
      <c r="E7" s="13" t="s">
        <v>161</v>
      </c>
      <c r="F7" s="11">
        <v>12.430999999999999</v>
      </c>
      <c r="G7" s="11" t="s">
        <v>145</v>
      </c>
      <c r="H7" s="11">
        <v>12.593999999999999</v>
      </c>
      <c r="I7" s="13" t="s">
        <v>169</v>
      </c>
      <c r="J7" s="11">
        <v>12.436</v>
      </c>
      <c r="K7" s="27" t="s">
        <v>153</v>
      </c>
      <c r="L7" s="11">
        <v>12.172000000000001</v>
      </c>
      <c r="M7" s="13" t="s">
        <v>177</v>
      </c>
      <c r="N7" s="6"/>
    </row>
    <row r="8" spans="1:15" ht="14.25" customHeight="1">
      <c r="A8" s="12" t="s">
        <v>105</v>
      </c>
      <c r="B8" s="8">
        <v>18.724</v>
      </c>
      <c r="C8" s="9" t="s">
        <v>138</v>
      </c>
      <c r="D8" s="11">
        <v>18.331</v>
      </c>
      <c r="E8" s="11" t="s">
        <v>162</v>
      </c>
      <c r="F8" s="11">
        <v>23.588000000000001</v>
      </c>
      <c r="G8" s="11" t="s">
        <v>146</v>
      </c>
      <c r="H8" s="11">
        <v>21.785</v>
      </c>
      <c r="I8" s="11" t="s">
        <v>170</v>
      </c>
      <c r="J8" s="11">
        <v>23.329000000000001</v>
      </c>
      <c r="K8" s="27" t="s">
        <v>154</v>
      </c>
      <c r="L8" s="11">
        <v>21.494</v>
      </c>
      <c r="M8" s="11" t="s">
        <v>178</v>
      </c>
      <c r="N8" s="6"/>
    </row>
    <row r="9" spans="1:15" ht="14.25" customHeight="1">
      <c r="A9" s="12" t="s">
        <v>106</v>
      </c>
      <c r="B9" s="8">
        <v>4.1150000000000002</v>
      </c>
      <c r="C9" s="9" t="s">
        <v>139</v>
      </c>
      <c r="D9" s="11">
        <v>3.8530000000000002</v>
      </c>
      <c r="E9" s="11" t="s">
        <v>163</v>
      </c>
      <c r="F9" s="11">
        <v>5.5860000000000003</v>
      </c>
      <c r="G9" s="11" t="s">
        <v>147</v>
      </c>
      <c r="H9" s="11">
        <v>5.1749999999999998</v>
      </c>
      <c r="I9" s="11" t="s">
        <v>171</v>
      </c>
      <c r="J9" s="11">
        <v>7.3559999999999999</v>
      </c>
      <c r="K9" s="27" t="s">
        <v>155</v>
      </c>
      <c r="L9" s="11">
        <v>6.7709999999999999</v>
      </c>
      <c r="M9" s="11" t="s">
        <v>179</v>
      </c>
      <c r="N9" s="6"/>
    </row>
    <row r="10" spans="1:15" ht="14.25" customHeight="1">
      <c r="A10" s="17" t="s">
        <v>104</v>
      </c>
      <c r="B10" s="10">
        <v>5.806</v>
      </c>
      <c r="C10" s="11" t="s">
        <v>140</v>
      </c>
      <c r="D10" s="11">
        <v>5.3559999999999999</v>
      </c>
      <c r="E10" s="13" t="s">
        <v>164</v>
      </c>
      <c r="F10" s="11">
        <v>9.3520000000000003</v>
      </c>
      <c r="G10" s="11" t="s">
        <v>148</v>
      </c>
      <c r="H10" s="11">
        <v>6.8150000000000004</v>
      </c>
      <c r="I10" s="13" t="s">
        <v>172</v>
      </c>
      <c r="J10" s="11">
        <v>9.0090000000000003</v>
      </c>
      <c r="K10" s="27" t="s">
        <v>156</v>
      </c>
      <c r="L10" s="11">
        <v>6.5839999999999996</v>
      </c>
      <c r="M10" s="13" t="s">
        <v>180</v>
      </c>
      <c r="N10" s="6"/>
    </row>
    <row r="11" spans="1:15" ht="14.25" customHeight="1">
      <c r="A11" s="17" t="s">
        <v>107</v>
      </c>
      <c r="B11" s="10">
        <v>6.2080000000000002</v>
      </c>
      <c r="C11" s="11" t="s">
        <v>141</v>
      </c>
      <c r="D11" s="11">
        <v>5.7729999999999997</v>
      </c>
      <c r="E11" s="11" t="s">
        <v>165</v>
      </c>
      <c r="F11" s="11">
        <v>8.2810000000000006</v>
      </c>
      <c r="G11" s="11" t="s">
        <v>149</v>
      </c>
      <c r="H11" s="11">
        <v>6.5209999999999999</v>
      </c>
      <c r="I11" s="11" t="s">
        <v>173</v>
      </c>
      <c r="J11" s="11">
        <v>8.6509999999999998</v>
      </c>
      <c r="K11" s="27" t="s">
        <v>157</v>
      </c>
      <c r="L11" s="11">
        <v>6.7450000000000001</v>
      </c>
      <c r="M11" s="11" t="s">
        <v>181</v>
      </c>
      <c r="N11" s="6"/>
    </row>
    <row r="12" spans="1:15" ht="14.25" customHeight="1">
      <c r="A12" s="17" t="s">
        <v>108</v>
      </c>
      <c r="B12" s="10">
        <v>7.7729999999999997</v>
      </c>
      <c r="C12" s="11" t="s">
        <v>142</v>
      </c>
      <c r="D12" s="11">
        <v>7.2910000000000004</v>
      </c>
      <c r="E12" s="13" t="s">
        <v>166</v>
      </c>
      <c r="F12" s="11">
        <v>8.891</v>
      </c>
      <c r="G12" s="11" t="s">
        <v>150</v>
      </c>
      <c r="H12" s="11">
        <v>7.6120000000000001</v>
      </c>
      <c r="I12" s="13" t="s">
        <v>174</v>
      </c>
      <c r="J12" s="11">
        <v>7.234</v>
      </c>
      <c r="K12" s="27" t="s">
        <v>158</v>
      </c>
      <c r="L12" s="11">
        <v>6.4169999999999998</v>
      </c>
      <c r="M12" s="13" t="s">
        <v>182</v>
      </c>
      <c r="N12" s="6"/>
    </row>
    <row r="13" spans="1:15" ht="14.25" customHeight="1">
      <c r="A13" s="21" t="s">
        <v>109</v>
      </c>
      <c r="B13" s="16">
        <v>27.231000000000002</v>
      </c>
      <c r="C13" s="15" t="s">
        <v>143</v>
      </c>
      <c r="D13" s="15">
        <v>27.5</v>
      </c>
      <c r="E13" s="22" t="s">
        <v>167</v>
      </c>
      <c r="F13" s="15">
        <v>31.120999999999999</v>
      </c>
      <c r="G13" s="15" t="s">
        <v>151</v>
      </c>
      <c r="H13" s="15">
        <v>33.119</v>
      </c>
      <c r="I13" s="22" t="s">
        <v>175</v>
      </c>
      <c r="J13" s="15">
        <v>31.931999999999999</v>
      </c>
      <c r="K13" s="28" t="s">
        <v>159</v>
      </c>
      <c r="L13" s="15">
        <v>32.581000000000003</v>
      </c>
      <c r="M13" s="22" t="s">
        <v>183</v>
      </c>
      <c r="N13" s="6"/>
    </row>
    <row r="14" spans="1:15" ht="14.25" customHeight="1">
      <c r="A14" s="182" t="s">
        <v>13</v>
      </c>
      <c r="B14" s="182"/>
      <c r="C14" s="182"/>
      <c r="D14" s="182"/>
      <c r="E14" s="182"/>
      <c r="F14" s="182"/>
      <c r="G14" s="182"/>
      <c r="H14" s="182"/>
      <c r="I14" s="182"/>
      <c r="J14" s="182"/>
      <c r="K14" s="182"/>
      <c r="L14" s="182"/>
      <c r="M14" s="182"/>
      <c r="N14" s="6"/>
    </row>
    <row r="15" spans="1:15" ht="14.25" customHeight="1">
      <c r="A15" s="175" t="s">
        <v>93</v>
      </c>
      <c r="B15" s="175"/>
      <c r="C15" s="175"/>
      <c r="D15" s="175"/>
      <c r="E15" s="175"/>
      <c r="F15" s="175"/>
      <c r="G15" s="175"/>
      <c r="H15" s="175"/>
      <c r="I15" s="175"/>
      <c r="J15" s="175"/>
      <c r="K15" s="175"/>
      <c r="L15" s="175"/>
      <c r="M15" s="175"/>
      <c r="N15" s="85"/>
      <c r="O15" s="50"/>
    </row>
    <row r="16" spans="1:15">
      <c r="A16" s="183" t="s">
        <v>290</v>
      </c>
      <c r="B16" s="169"/>
      <c r="C16" s="169"/>
      <c r="D16" s="169"/>
      <c r="E16" s="169"/>
      <c r="F16" s="169"/>
      <c r="G16" s="169"/>
      <c r="H16" s="169"/>
      <c r="I16" s="169"/>
      <c r="J16" s="169"/>
      <c r="K16" s="169"/>
      <c r="L16" s="169"/>
      <c r="M16" s="169"/>
      <c r="N16" s="85"/>
      <c r="O16" s="50"/>
    </row>
    <row r="17" spans="1:15">
      <c r="A17" s="175" t="s">
        <v>94</v>
      </c>
      <c r="B17" s="175"/>
      <c r="C17" s="175"/>
      <c r="D17" s="175"/>
      <c r="E17" s="175"/>
      <c r="F17" s="175"/>
      <c r="G17" s="175"/>
      <c r="H17" s="175"/>
      <c r="I17" s="175"/>
      <c r="J17" s="175"/>
      <c r="K17" s="175"/>
      <c r="L17" s="175"/>
      <c r="M17" s="175"/>
      <c r="N17" s="85"/>
      <c r="O17" s="50"/>
    </row>
    <row r="18" spans="1:15" ht="26.25" customHeight="1">
      <c r="A18" s="182" t="s">
        <v>339</v>
      </c>
      <c r="B18" s="182"/>
      <c r="C18" s="182"/>
      <c r="D18" s="182"/>
      <c r="E18" s="182"/>
      <c r="F18" s="182"/>
      <c r="G18" s="182"/>
      <c r="H18" s="182"/>
      <c r="I18" s="182"/>
      <c r="J18" s="182"/>
      <c r="K18" s="182"/>
      <c r="L18" s="182"/>
      <c r="M18" s="182"/>
      <c r="N18" s="85"/>
      <c r="O18" s="50"/>
    </row>
    <row r="19" spans="1:15" ht="21.75" customHeight="1">
      <c r="A19" s="185" t="s">
        <v>95</v>
      </c>
      <c r="B19" s="185"/>
      <c r="C19" s="185"/>
      <c r="D19" s="185"/>
      <c r="E19" s="185"/>
      <c r="F19" s="185"/>
      <c r="G19" s="185"/>
      <c r="H19" s="185"/>
      <c r="I19" s="185"/>
      <c r="J19" s="185"/>
      <c r="K19" s="185"/>
      <c r="L19" s="185"/>
      <c r="M19" s="185"/>
      <c r="N19" s="185"/>
      <c r="O19" s="185"/>
    </row>
    <row r="20" spans="1:15" ht="14.25" customHeight="1">
      <c r="A20" s="175" t="s">
        <v>96</v>
      </c>
      <c r="B20" s="175"/>
      <c r="C20" s="175"/>
      <c r="D20" s="175"/>
      <c r="E20" s="175"/>
      <c r="F20" s="175"/>
      <c r="G20" s="175"/>
      <c r="H20" s="175"/>
      <c r="I20" s="175"/>
      <c r="J20" s="175"/>
      <c r="K20" s="175"/>
      <c r="L20" s="175"/>
      <c r="M20" s="175"/>
      <c r="N20" s="85"/>
      <c r="O20" s="50"/>
    </row>
    <row r="21" spans="1:15" ht="14.25" customHeight="1">
      <c r="A21" s="175" t="s">
        <v>97</v>
      </c>
      <c r="B21" s="175"/>
      <c r="C21" s="175"/>
      <c r="D21" s="175"/>
      <c r="E21" s="175"/>
      <c r="F21" s="175"/>
      <c r="G21" s="175"/>
      <c r="H21" s="175"/>
      <c r="I21" s="175"/>
      <c r="J21" s="175"/>
      <c r="K21" s="175"/>
      <c r="L21" s="175"/>
      <c r="M21" s="175"/>
      <c r="N21" s="85"/>
      <c r="O21" s="50"/>
    </row>
    <row r="22" spans="1:15" ht="14.25" customHeight="1">
      <c r="A22" s="175" t="s">
        <v>98</v>
      </c>
      <c r="B22" s="175"/>
      <c r="C22" s="175"/>
      <c r="D22" s="175"/>
      <c r="E22" s="175"/>
      <c r="F22" s="175"/>
      <c r="G22" s="175"/>
      <c r="H22" s="175"/>
      <c r="I22" s="175"/>
      <c r="J22" s="175"/>
      <c r="K22" s="175"/>
      <c r="L22" s="175"/>
      <c r="M22" s="175"/>
      <c r="N22" s="85"/>
      <c r="O22" s="50"/>
    </row>
    <row r="23" spans="1:15" ht="24" customHeight="1">
      <c r="A23" s="182" t="s">
        <v>99</v>
      </c>
      <c r="B23" s="182"/>
      <c r="C23" s="182"/>
      <c r="D23" s="182"/>
      <c r="E23" s="182"/>
      <c r="F23" s="182"/>
      <c r="G23" s="182"/>
      <c r="H23" s="182"/>
      <c r="I23" s="182"/>
      <c r="J23" s="182"/>
      <c r="K23" s="182"/>
      <c r="L23" s="182"/>
      <c r="M23" s="182"/>
      <c r="N23" s="182"/>
      <c r="O23" s="182"/>
    </row>
    <row r="24" spans="1:15" ht="13.5" customHeight="1">
      <c r="A24" s="185" t="s">
        <v>100</v>
      </c>
      <c r="B24" s="185"/>
      <c r="C24" s="185"/>
      <c r="D24" s="185"/>
      <c r="E24" s="185"/>
      <c r="F24" s="185"/>
      <c r="G24" s="185"/>
      <c r="H24" s="185"/>
      <c r="I24" s="185"/>
      <c r="J24" s="185"/>
      <c r="K24" s="185"/>
      <c r="L24" s="185"/>
      <c r="M24" s="185"/>
      <c r="N24" s="185"/>
      <c r="O24" s="185"/>
    </row>
    <row r="25" spans="1:15" ht="13.5" customHeight="1">
      <c r="A25" s="186" t="s">
        <v>101</v>
      </c>
      <c r="B25" s="186"/>
      <c r="C25" s="186"/>
      <c r="D25" s="186"/>
      <c r="E25" s="186"/>
      <c r="F25" s="186"/>
      <c r="G25" s="186"/>
      <c r="H25" s="186"/>
      <c r="I25" s="186"/>
      <c r="J25" s="186"/>
      <c r="K25" s="186"/>
      <c r="L25" s="186"/>
      <c r="M25" s="186"/>
      <c r="N25" s="84"/>
      <c r="O25" s="84"/>
    </row>
    <row r="26" spans="1:15" ht="24" customHeight="1">
      <c r="A26" s="185" t="s">
        <v>102</v>
      </c>
      <c r="B26" s="185"/>
      <c r="C26" s="185"/>
      <c r="D26" s="185"/>
      <c r="E26" s="185"/>
      <c r="F26" s="185"/>
      <c r="G26" s="185"/>
      <c r="H26" s="185"/>
      <c r="I26" s="185"/>
      <c r="J26" s="185"/>
      <c r="K26" s="185"/>
      <c r="L26" s="185"/>
      <c r="M26" s="185"/>
      <c r="N26" s="185"/>
    </row>
    <row r="27" spans="1:15" ht="11.25" customHeight="1">
      <c r="A27" s="175" t="s">
        <v>337</v>
      </c>
      <c r="B27" s="175"/>
      <c r="C27" s="175"/>
      <c r="D27" s="175"/>
      <c r="E27" s="175"/>
      <c r="F27" s="175"/>
      <c r="G27" s="175"/>
      <c r="H27" s="175"/>
      <c r="I27" s="175"/>
      <c r="J27" s="175"/>
      <c r="K27" s="175"/>
      <c r="L27" s="17"/>
      <c r="M27" s="17"/>
      <c r="N27" s="6"/>
    </row>
    <row r="28" spans="1:15">
      <c r="A28" s="6"/>
      <c r="B28" s="6"/>
      <c r="C28" s="6"/>
      <c r="D28" s="6"/>
      <c r="E28" s="6"/>
      <c r="F28" s="6"/>
      <c r="G28" s="6"/>
      <c r="H28" s="6"/>
      <c r="I28" s="6"/>
      <c r="J28" s="6"/>
      <c r="K28" s="6"/>
      <c r="L28" s="6"/>
      <c r="M28" s="6"/>
      <c r="N28" s="6"/>
    </row>
  </sheetData>
  <mergeCells count="25">
    <mergeCell ref="A27:K27"/>
    <mergeCell ref="A26:N26"/>
    <mergeCell ref="A15:M15"/>
    <mergeCell ref="A16:M16"/>
    <mergeCell ref="A17:M17"/>
    <mergeCell ref="A18:M18"/>
    <mergeCell ref="A20:M20"/>
    <mergeCell ref="A21:M21"/>
    <mergeCell ref="A22:M22"/>
    <mergeCell ref="A25:M25"/>
    <mergeCell ref="L4:M4"/>
    <mergeCell ref="A14:M14"/>
    <mergeCell ref="A23:O23"/>
    <mergeCell ref="A24:O24"/>
    <mergeCell ref="A1:M1"/>
    <mergeCell ref="A3:A5"/>
    <mergeCell ref="B3:E3"/>
    <mergeCell ref="F3:I3"/>
    <mergeCell ref="J3:M3"/>
    <mergeCell ref="B4:C4"/>
    <mergeCell ref="D4:E4"/>
    <mergeCell ref="F4:G4"/>
    <mergeCell ref="H4:I4"/>
    <mergeCell ref="J4:K4"/>
    <mergeCell ref="A19:O19"/>
  </mergeCells>
  <hyperlinks>
    <hyperlink ref="A16:M16" r:id="rId1" display="(b) Excludes Very remote areas. Remoteness areas are defined by the Australian Statistical Geography Standard (ASGS) Edition 3." xr:uid="{AAA01440-7301-4BE6-8172-61834F15DACF}"/>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11E8F-D59A-40FD-A550-953E96DCEE20}">
  <dimension ref="A1:M19"/>
  <sheetViews>
    <sheetView showGridLines="0" zoomScaleNormal="100" workbookViewId="0">
      <selection sqref="A1:G1"/>
    </sheetView>
  </sheetViews>
  <sheetFormatPr defaultRowHeight="14.25"/>
  <cols>
    <col min="1" max="1" width="36.375" style="43" customWidth="1"/>
    <col min="2" max="2" width="5.625" style="43" customWidth="1"/>
    <col min="3" max="3" width="9.125" customWidth="1"/>
    <col min="4" max="4" width="7.5" customWidth="1"/>
    <col min="5" max="5" width="5.625" customWidth="1"/>
    <col min="6" max="6" width="6.625" customWidth="1"/>
    <col min="7" max="7" width="5.625" customWidth="1"/>
    <col min="8" max="8" width="7.5" customWidth="1"/>
    <col min="9" max="9" width="5.625" customWidth="1"/>
    <col min="10" max="10" width="7.5" customWidth="1"/>
    <col min="11" max="11" width="5.625" customWidth="1"/>
    <col min="12" max="12" width="7.5" customWidth="1"/>
    <col min="13" max="13" width="13.625" customWidth="1"/>
  </cols>
  <sheetData>
    <row r="1" spans="1:13">
      <c r="A1" s="170" t="s">
        <v>333</v>
      </c>
      <c r="B1" s="170"/>
      <c r="C1" s="170"/>
      <c r="D1" s="170"/>
      <c r="E1" s="170"/>
      <c r="F1" s="170"/>
      <c r="G1" s="170"/>
      <c r="H1" s="18"/>
      <c r="I1" s="18"/>
      <c r="J1" s="18"/>
      <c r="K1" s="18"/>
    </row>
    <row r="2" spans="1:13">
      <c r="A2" s="6"/>
      <c r="B2" s="6"/>
      <c r="C2" s="43"/>
      <c r="D2" s="43"/>
      <c r="E2" s="43"/>
      <c r="F2" s="43"/>
      <c r="G2" s="43"/>
      <c r="H2" s="43"/>
      <c r="I2" s="43"/>
      <c r="J2" s="43"/>
      <c r="K2" s="43"/>
      <c r="L2" s="43"/>
      <c r="M2" s="43"/>
    </row>
    <row r="3" spans="1:13">
      <c r="A3" s="89"/>
      <c r="B3" s="90"/>
      <c r="C3" s="78"/>
      <c r="D3" s="78"/>
      <c r="E3" s="78"/>
      <c r="F3" s="78"/>
      <c r="G3" s="191" t="s">
        <v>84</v>
      </c>
      <c r="H3" s="191"/>
      <c r="I3" s="191"/>
      <c r="J3" s="78"/>
      <c r="K3" s="78"/>
      <c r="L3" s="78"/>
      <c r="M3" s="78"/>
    </row>
    <row r="4" spans="1:13">
      <c r="A4" s="76" t="s">
        <v>82</v>
      </c>
      <c r="B4" s="88"/>
      <c r="C4" s="192" t="s">
        <v>5</v>
      </c>
      <c r="D4" s="192"/>
      <c r="E4" s="74"/>
      <c r="F4" s="192" t="s">
        <v>83</v>
      </c>
      <c r="G4" s="192"/>
      <c r="H4" s="76"/>
      <c r="I4" s="192" t="s">
        <v>69</v>
      </c>
      <c r="J4" s="192"/>
      <c r="K4" s="76"/>
      <c r="L4" s="192" t="s">
        <v>81</v>
      </c>
      <c r="M4" s="192"/>
    </row>
    <row r="5" spans="1:13">
      <c r="A5" s="36"/>
      <c r="B5" s="77"/>
      <c r="C5" s="190" t="s">
        <v>347</v>
      </c>
      <c r="D5" s="190"/>
      <c r="E5" s="190"/>
      <c r="F5" s="190"/>
      <c r="G5" s="190"/>
      <c r="H5" s="190"/>
      <c r="I5" s="190"/>
      <c r="J5" s="190"/>
      <c r="K5" s="190"/>
      <c r="L5" s="190"/>
      <c r="M5" s="190"/>
    </row>
    <row r="6" spans="1:13">
      <c r="A6" s="17" t="s">
        <v>85</v>
      </c>
      <c r="B6" s="17"/>
      <c r="C6" s="187">
        <v>6.7290000000000001</v>
      </c>
      <c r="D6" s="187"/>
      <c r="E6" s="59"/>
      <c r="F6" s="187">
        <v>5.968</v>
      </c>
      <c r="G6" s="187"/>
      <c r="H6" s="79"/>
      <c r="I6" s="187">
        <v>4.8789999999999996</v>
      </c>
      <c r="J6" s="187"/>
      <c r="K6" s="59"/>
      <c r="L6" s="187">
        <v>4.8330000000000002</v>
      </c>
      <c r="M6" s="187"/>
    </row>
    <row r="7" spans="1:13">
      <c r="A7" s="17" t="s">
        <v>12</v>
      </c>
      <c r="B7" s="17"/>
      <c r="C7" s="187">
        <v>8.4339999999999993</v>
      </c>
      <c r="D7" s="187"/>
      <c r="E7" s="59"/>
      <c r="F7" s="187">
        <v>9.3320000000000007</v>
      </c>
      <c r="G7" s="187"/>
      <c r="H7" s="79"/>
      <c r="I7" s="187">
        <v>8.2370000000000001</v>
      </c>
      <c r="J7" s="187"/>
      <c r="K7" s="59"/>
      <c r="L7" s="187">
        <v>5.8879999999999999</v>
      </c>
      <c r="M7" s="187"/>
    </row>
    <row r="8" spans="1:13">
      <c r="A8" s="12" t="s">
        <v>73</v>
      </c>
      <c r="B8" s="12"/>
      <c r="C8" s="187">
        <v>5.2290000000000001</v>
      </c>
      <c r="D8" s="187"/>
      <c r="E8" s="59"/>
      <c r="F8" s="187">
        <v>6.6539999999999999</v>
      </c>
      <c r="G8" s="187"/>
      <c r="H8" s="79"/>
      <c r="I8" s="187">
        <v>7.3319999999999999</v>
      </c>
      <c r="J8" s="187"/>
      <c r="K8" s="59"/>
      <c r="L8" s="187">
        <v>8.5370000000000008</v>
      </c>
      <c r="M8" s="187"/>
    </row>
    <row r="9" spans="1:13">
      <c r="A9" s="12" t="s">
        <v>86</v>
      </c>
      <c r="B9" s="12"/>
      <c r="C9" s="79"/>
      <c r="D9" s="79">
        <v>1.5680000000000001</v>
      </c>
      <c r="E9" s="59"/>
      <c r="F9" s="187">
        <v>1.5469999999999999</v>
      </c>
      <c r="G9" s="187"/>
      <c r="H9" s="79"/>
      <c r="I9" s="187">
        <v>1.972</v>
      </c>
      <c r="J9" s="187"/>
      <c r="K9" s="59"/>
      <c r="L9" s="187">
        <v>4.9649999999999999</v>
      </c>
      <c r="M9" s="187"/>
    </row>
    <row r="10" spans="1:13">
      <c r="A10" s="17" t="s">
        <v>60</v>
      </c>
      <c r="B10" s="17"/>
      <c r="C10" s="187">
        <v>9.5009999999999994</v>
      </c>
      <c r="D10" s="187"/>
      <c r="E10" s="59"/>
      <c r="F10" s="187">
        <v>11.603999999999999</v>
      </c>
      <c r="G10" s="187"/>
      <c r="H10" s="79"/>
      <c r="I10" s="187">
        <v>13</v>
      </c>
      <c r="J10" s="187"/>
      <c r="K10" s="59"/>
      <c r="L10" s="187">
        <v>21.32</v>
      </c>
      <c r="M10" s="187"/>
    </row>
    <row r="11" spans="1:13">
      <c r="A11" s="17" t="s">
        <v>87</v>
      </c>
      <c r="B11" s="17"/>
      <c r="C11" s="187">
        <v>6.2619999999999996</v>
      </c>
      <c r="D11" s="187"/>
      <c r="E11" s="59"/>
      <c r="F11" s="187">
        <v>6.03</v>
      </c>
      <c r="G11" s="187"/>
      <c r="H11" s="79"/>
      <c r="I11" s="187">
        <v>5.7590000000000003</v>
      </c>
      <c r="J11" s="187"/>
      <c r="K11" s="59"/>
      <c r="L11" s="187">
        <v>5.71</v>
      </c>
      <c r="M11" s="187"/>
    </row>
    <row r="12" spans="1:13">
      <c r="A12" s="17" t="s">
        <v>61</v>
      </c>
      <c r="B12" s="17"/>
      <c r="C12" s="187">
        <v>4.9359999999999999</v>
      </c>
      <c r="D12" s="187"/>
      <c r="E12" s="59"/>
      <c r="F12" s="187">
        <v>6.0629999999999997</v>
      </c>
      <c r="G12" s="187"/>
      <c r="H12" s="79"/>
      <c r="I12" s="187">
        <v>6.9779999999999998</v>
      </c>
      <c r="J12" s="187"/>
      <c r="K12" s="59"/>
      <c r="L12" s="187">
        <v>7.3860000000000001</v>
      </c>
      <c r="M12" s="187"/>
    </row>
    <row r="13" spans="1:13">
      <c r="A13" s="17" t="s">
        <v>88</v>
      </c>
      <c r="B13" s="17"/>
      <c r="C13" s="187">
        <v>4.0460000000000003</v>
      </c>
      <c r="D13" s="187"/>
      <c r="E13" s="59"/>
      <c r="F13" s="187">
        <v>4.4119999999999999</v>
      </c>
      <c r="G13" s="187"/>
      <c r="H13" s="79"/>
      <c r="I13" s="187">
        <v>4.4729999999999999</v>
      </c>
      <c r="J13" s="187"/>
      <c r="K13" s="59"/>
      <c r="L13" s="59"/>
      <c r="M13" s="59">
        <v>4.95</v>
      </c>
    </row>
    <row r="14" spans="1:13">
      <c r="A14" s="43" t="s">
        <v>89</v>
      </c>
      <c r="C14" s="187">
        <v>5.12</v>
      </c>
      <c r="D14" s="187"/>
      <c r="E14" s="59"/>
      <c r="F14" s="187">
        <v>7.0739999999999998</v>
      </c>
      <c r="G14" s="187"/>
      <c r="H14" s="79"/>
      <c r="I14" s="187">
        <v>8.4830000000000005</v>
      </c>
      <c r="J14" s="187"/>
      <c r="K14" s="59"/>
      <c r="L14" s="59"/>
      <c r="M14" s="59">
        <v>10.146000000000001</v>
      </c>
    </row>
    <row r="15" spans="1:13">
      <c r="A15" s="72" t="s">
        <v>90</v>
      </c>
      <c r="B15" s="72"/>
      <c r="C15" s="188">
        <v>3.6789999999999998</v>
      </c>
      <c r="D15" s="188"/>
      <c r="E15" s="83"/>
      <c r="F15" s="188">
        <v>3.6709999999999998</v>
      </c>
      <c r="G15" s="188"/>
      <c r="H15" s="82"/>
      <c r="I15" s="188">
        <v>4.8689999999999998</v>
      </c>
      <c r="J15" s="188"/>
      <c r="K15" s="83"/>
      <c r="L15" s="83"/>
      <c r="M15" s="83">
        <v>7.4039999999999999</v>
      </c>
    </row>
    <row r="16" spans="1:13" ht="3.75" customHeight="1">
      <c r="C16" s="79"/>
      <c r="D16" s="79"/>
      <c r="E16" s="59"/>
      <c r="F16" s="79"/>
      <c r="G16" s="79"/>
      <c r="H16" s="79"/>
      <c r="I16" s="79"/>
      <c r="J16" s="79"/>
      <c r="K16" s="59"/>
      <c r="L16" s="59"/>
      <c r="M16" s="59"/>
    </row>
    <row r="17" spans="1:13">
      <c r="A17" s="43" t="s">
        <v>13</v>
      </c>
      <c r="C17" s="79"/>
      <c r="D17" s="79"/>
      <c r="E17" s="59"/>
      <c r="F17" s="79"/>
      <c r="G17" s="79"/>
      <c r="H17" s="79"/>
      <c r="I17" s="79"/>
      <c r="J17" s="79"/>
      <c r="K17" s="59"/>
      <c r="L17" s="59"/>
      <c r="M17" s="59"/>
    </row>
    <row r="18" spans="1:13" ht="21.75" customHeight="1">
      <c r="A18" s="189" t="s">
        <v>348</v>
      </c>
      <c r="B18" s="189"/>
      <c r="C18" s="189"/>
      <c r="D18" s="189"/>
      <c r="E18" s="189"/>
      <c r="F18" s="189"/>
      <c r="G18" s="189"/>
      <c r="H18" s="189"/>
      <c r="I18" s="189"/>
      <c r="J18" s="189"/>
      <c r="K18" s="189"/>
      <c r="L18" s="189"/>
      <c r="M18" s="189"/>
    </row>
    <row r="19" spans="1:13">
      <c r="A19" s="43" t="s">
        <v>338</v>
      </c>
    </row>
  </sheetData>
  <mergeCells count="44">
    <mergeCell ref="A18:M18"/>
    <mergeCell ref="C5:M5"/>
    <mergeCell ref="A1:G1"/>
    <mergeCell ref="I11:J11"/>
    <mergeCell ref="I12:J12"/>
    <mergeCell ref="F11:G11"/>
    <mergeCell ref="F12:G12"/>
    <mergeCell ref="C11:D11"/>
    <mergeCell ref="C12:D12"/>
    <mergeCell ref="G3:I3"/>
    <mergeCell ref="F4:G4"/>
    <mergeCell ref="I4:J4"/>
    <mergeCell ref="L4:M4"/>
    <mergeCell ref="C4:D4"/>
    <mergeCell ref="I13:J13"/>
    <mergeCell ref="I14:J14"/>
    <mergeCell ref="I15:J15"/>
    <mergeCell ref="L6:M6"/>
    <mergeCell ref="L7:M7"/>
    <mergeCell ref="L8:M8"/>
    <mergeCell ref="L9:M9"/>
    <mergeCell ref="L10:M10"/>
    <mergeCell ref="L11:M11"/>
    <mergeCell ref="L12:M12"/>
    <mergeCell ref="I6:J6"/>
    <mergeCell ref="I7:J7"/>
    <mergeCell ref="I8:J8"/>
    <mergeCell ref="I9:J9"/>
    <mergeCell ref="I10:J10"/>
    <mergeCell ref="C13:D13"/>
    <mergeCell ref="C14:D14"/>
    <mergeCell ref="C15:D15"/>
    <mergeCell ref="F6:G6"/>
    <mergeCell ref="F7:G7"/>
    <mergeCell ref="F8:G8"/>
    <mergeCell ref="F9:G9"/>
    <mergeCell ref="F10:G10"/>
    <mergeCell ref="C6:D6"/>
    <mergeCell ref="C7:D7"/>
    <mergeCell ref="C8:D8"/>
    <mergeCell ref="C10:D10"/>
    <mergeCell ref="F13:G13"/>
    <mergeCell ref="F14:G14"/>
    <mergeCell ref="F15:G1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C1FB-C89D-44E8-A1BE-3AEBEA7AED34}">
  <dimension ref="A1:L61"/>
  <sheetViews>
    <sheetView showGridLines="0" zoomScaleNormal="100" workbookViewId="0"/>
  </sheetViews>
  <sheetFormatPr defaultColWidth="14.875" defaultRowHeight="14.25"/>
  <cols>
    <col min="2" max="2" width="4.25" bestFit="1" customWidth="1"/>
    <col min="3" max="3" width="51.5" bestFit="1" customWidth="1"/>
    <col min="4" max="4" width="6" customWidth="1"/>
    <col min="5" max="5" width="14.75" customWidth="1"/>
    <col min="6" max="6" width="12.5" customWidth="1"/>
    <col min="7" max="7" width="17.125" customWidth="1"/>
  </cols>
  <sheetData>
    <row r="1" spans="1:12">
      <c r="A1" s="18" t="s">
        <v>327</v>
      </c>
      <c r="B1" s="18"/>
      <c r="C1" s="18"/>
    </row>
    <row r="3" spans="1:12" ht="22.5">
      <c r="A3" s="163" t="s">
        <v>23</v>
      </c>
      <c r="B3" s="164" t="s">
        <v>41</v>
      </c>
      <c r="C3" s="165" t="s">
        <v>40</v>
      </c>
      <c r="D3" s="166" t="s">
        <v>42</v>
      </c>
      <c r="E3" s="167" t="s">
        <v>43</v>
      </c>
      <c r="F3" s="167" t="s">
        <v>44</v>
      </c>
      <c r="G3" s="167" t="s">
        <v>63</v>
      </c>
    </row>
    <row r="4" spans="1:12" ht="14.25" customHeight="1">
      <c r="A4" s="51"/>
      <c r="B4" s="52"/>
      <c r="C4" s="53"/>
      <c r="D4" s="41"/>
      <c r="E4" s="42"/>
      <c r="F4" s="42"/>
      <c r="G4" s="42"/>
    </row>
    <row r="5" spans="1:12" ht="14.25" customHeight="1">
      <c r="A5" s="38" t="s">
        <v>56</v>
      </c>
      <c r="B5" s="44">
        <v>1</v>
      </c>
      <c r="C5" s="7" t="s">
        <v>294</v>
      </c>
      <c r="D5" s="103">
        <v>35345.040999999997</v>
      </c>
      <c r="E5" s="68">
        <v>9.9003209999999999</v>
      </c>
      <c r="F5" s="68">
        <v>62.361618999999997</v>
      </c>
      <c r="G5" s="68">
        <v>45.454120000000003</v>
      </c>
      <c r="K5" s="93"/>
      <c r="L5" s="94"/>
    </row>
    <row r="6" spans="1:12" ht="14.25" customHeight="1">
      <c r="A6" s="38" t="s">
        <v>56</v>
      </c>
      <c r="B6" s="44">
        <v>2</v>
      </c>
      <c r="C6" s="7" t="s">
        <v>295</v>
      </c>
      <c r="D6" s="103">
        <v>34131.209000000003</v>
      </c>
      <c r="E6" s="68">
        <v>9.5603207999999995</v>
      </c>
      <c r="F6" s="68">
        <v>60.219974999999998</v>
      </c>
      <c r="G6" s="68">
        <v>46.706356999999997</v>
      </c>
      <c r="K6" s="93"/>
      <c r="L6" s="94"/>
    </row>
    <row r="7" spans="1:12" ht="14.25" customHeight="1">
      <c r="A7" s="38" t="s">
        <v>56</v>
      </c>
      <c r="B7" s="44">
        <v>3</v>
      </c>
      <c r="C7" s="7" t="s">
        <v>296</v>
      </c>
      <c r="D7" s="103">
        <v>19246.418000000001</v>
      </c>
      <c r="E7" s="68">
        <v>5.3910171</v>
      </c>
      <c r="F7" s="68">
        <v>33.957743000000001</v>
      </c>
      <c r="G7" s="68">
        <v>25.913606000000001</v>
      </c>
      <c r="H7" s="92"/>
      <c r="I7" s="93"/>
      <c r="J7" s="93"/>
      <c r="K7" s="93"/>
      <c r="L7" s="94"/>
    </row>
    <row r="8" spans="1:12" ht="14.25" customHeight="1">
      <c r="A8" s="38" t="s">
        <v>56</v>
      </c>
      <c r="B8" s="44">
        <v>4</v>
      </c>
      <c r="C8" s="7" t="s">
        <v>297</v>
      </c>
      <c r="D8" s="103">
        <v>16479.192999999999</v>
      </c>
      <c r="E8" s="68">
        <v>4.6159036000000002</v>
      </c>
      <c r="F8" s="68">
        <v>29.075341999999999</v>
      </c>
      <c r="G8" s="68">
        <v>23.968948999999999</v>
      </c>
      <c r="H8" s="92"/>
      <c r="I8" s="93"/>
      <c r="J8" s="93"/>
      <c r="K8" s="93"/>
      <c r="L8" s="94"/>
    </row>
    <row r="9" spans="1:12" ht="14.25" customHeight="1">
      <c r="A9" s="38" t="s">
        <v>56</v>
      </c>
      <c r="B9" s="44">
        <v>5</v>
      </c>
      <c r="C9" s="7" t="s">
        <v>323</v>
      </c>
      <c r="D9" s="103">
        <v>12802.01</v>
      </c>
      <c r="E9" s="68">
        <v>3.5859065000000001</v>
      </c>
      <c r="F9" s="68">
        <v>22.587443</v>
      </c>
      <c r="G9" s="68">
        <v>17.870356000000001</v>
      </c>
      <c r="H9" s="92"/>
      <c r="I9" s="93"/>
      <c r="J9" s="93"/>
      <c r="K9" s="93"/>
      <c r="L9" s="94"/>
    </row>
    <row r="10" spans="1:12" ht="14.25" customHeight="1">
      <c r="A10" s="38" t="s">
        <v>56</v>
      </c>
      <c r="B10" s="44">
        <v>6</v>
      </c>
      <c r="C10" s="7" t="s">
        <v>324</v>
      </c>
      <c r="D10" s="103">
        <v>11766.224</v>
      </c>
      <c r="E10" s="68">
        <v>3.2957774999999998</v>
      </c>
      <c r="F10" s="68">
        <v>20.759934999999999</v>
      </c>
      <c r="G10" s="68">
        <v>15.862235999999999</v>
      </c>
      <c r="H10" s="92"/>
      <c r="I10" s="93"/>
      <c r="J10" s="93"/>
      <c r="K10" s="93"/>
      <c r="L10" s="94"/>
    </row>
    <row r="11" spans="1:12" ht="14.25" customHeight="1">
      <c r="A11" s="38" t="s">
        <v>56</v>
      </c>
      <c r="B11" s="44">
        <v>7</v>
      </c>
      <c r="C11" s="7" t="s">
        <v>298</v>
      </c>
      <c r="D11" s="103">
        <v>11071.842000000001</v>
      </c>
      <c r="E11" s="68">
        <v>3.1012778000000001</v>
      </c>
      <c r="F11" s="68">
        <v>19.534790999999998</v>
      </c>
      <c r="G11" s="68">
        <v>15.355912</v>
      </c>
      <c r="H11" s="92"/>
      <c r="I11" s="93"/>
      <c r="J11" s="93"/>
      <c r="K11" s="93"/>
      <c r="L11" s="94"/>
    </row>
    <row r="12" spans="1:12" ht="14.25" customHeight="1">
      <c r="A12" s="38" t="s">
        <v>56</v>
      </c>
      <c r="B12" s="44">
        <v>8</v>
      </c>
      <c r="C12" s="7" t="s">
        <v>299</v>
      </c>
      <c r="D12" s="103">
        <v>10219.047</v>
      </c>
      <c r="E12" s="68">
        <v>2.8624057000000001</v>
      </c>
      <c r="F12" s="68">
        <v>18.030148000000001</v>
      </c>
      <c r="G12" s="68">
        <v>14.733732</v>
      </c>
      <c r="H12" s="92"/>
      <c r="I12" s="93"/>
      <c r="J12" s="93"/>
      <c r="K12" s="93"/>
      <c r="L12" s="94"/>
    </row>
    <row r="13" spans="1:12" ht="14.25" customHeight="1">
      <c r="A13" s="38" t="s">
        <v>56</v>
      </c>
      <c r="B13" s="44">
        <v>9</v>
      </c>
      <c r="C13" s="7" t="s">
        <v>300</v>
      </c>
      <c r="D13" s="103">
        <v>8215.4125999999997</v>
      </c>
      <c r="E13" s="68">
        <v>2.3011778000000001</v>
      </c>
      <c r="F13" s="68">
        <v>14.495001999999999</v>
      </c>
      <c r="G13" s="68">
        <v>10.853707999999999</v>
      </c>
      <c r="H13" s="92"/>
      <c r="I13" s="93"/>
      <c r="J13" s="93"/>
      <c r="K13" s="93"/>
      <c r="L13" s="94"/>
    </row>
    <row r="14" spans="1:12" ht="14.25" customHeight="1">
      <c r="A14" s="38" t="s">
        <v>56</v>
      </c>
      <c r="B14" s="44">
        <v>10</v>
      </c>
      <c r="C14" s="7" t="s">
        <v>301</v>
      </c>
      <c r="D14" s="103">
        <v>7630.0493999999999</v>
      </c>
      <c r="E14" s="68">
        <v>2.1372146000000001</v>
      </c>
      <c r="F14" s="68">
        <v>13.462206</v>
      </c>
      <c r="G14" s="68">
        <v>9.9531782</v>
      </c>
      <c r="H14" s="92"/>
      <c r="I14" s="93"/>
      <c r="J14" s="93"/>
      <c r="K14" s="93"/>
      <c r="L14" s="94"/>
    </row>
    <row r="15" spans="1:12" ht="14.25" customHeight="1">
      <c r="A15" s="38"/>
      <c r="B15" s="44"/>
      <c r="C15" s="49"/>
      <c r="D15" s="68"/>
      <c r="E15" s="68"/>
      <c r="F15" s="68"/>
      <c r="G15" s="104"/>
    </row>
    <row r="16" spans="1:12" ht="14.25" customHeight="1">
      <c r="A16" s="40" t="s">
        <v>55</v>
      </c>
      <c r="B16" s="47">
        <v>1</v>
      </c>
      <c r="C16" s="7" t="s">
        <v>295</v>
      </c>
      <c r="D16" s="103">
        <v>12111.768</v>
      </c>
      <c r="E16" s="68">
        <v>9.7529983999999992</v>
      </c>
      <c r="F16" s="68">
        <v>87.282150000000001</v>
      </c>
      <c r="G16" s="68">
        <v>52.785421999999997</v>
      </c>
      <c r="H16" s="92"/>
      <c r="I16" s="93"/>
      <c r="J16" s="93"/>
      <c r="K16" s="93"/>
      <c r="L16" s="94"/>
    </row>
    <row r="17" spans="1:12" ht="14.25" customHeight="1">
      <c r="A17" s="40" t="s">
        <v>55</v>
      </c>
      <c r="B17" s="45">
        <v>2</v>
      </c>
      <c r="C17" s="7" t="s">
        <v>294</v>
      </c>
      <c r="D17" s="103">
        <v>10161.98</v>
      </c>
      <c r="E17" s="68">
        <v>8.1829318999999998</v>
      </c>
      <c r="F17" s="68">
        <v>73.231211000000002</v>
      </c>
      <c r="G17" s="68">
        <v>41.391730000000003</v>
      </c>
      <c r="H17" s="92"/>
      <c r="I17" s="93"/>
      <c r="J17" s="93"/>
      <c r="K17" s="93"/>
      <c r="L17" s="94"/>
    </row>
    <row r="18" spans="1:12" ht="14.25" customHeight="1">
      <c r="A18" s="40" t="s">
        <v>55</v>
      </c>
      <c r="B18" s="47">
        <v>3</v>
      </c>
      <c r="C18" s="7" t="s">
        <v>296</v>
      </c>
      <c r="D18" s="103">
        <v>6750.7972</v>
      </c>
      <c r="E18" s="68">
        <v>5.4360778999999999</v>
      </c>
      <c r="F18" s="68">
        <v>48.648891999999996</v>
      </c>
      <c r="G18" s="68">
        <v>28.623660999999998</v>
      </c>
      <c r="H18" s="92"/>
      <c r="I18" s="93"/>
      <c r="J18" s="93"/>
      <c r="K18" s="93"/>
      <c r="L18" s="94"/>
    </row>
    <row r="19" spans="1:12" ht="14.25" customHeight="1">
      <c r="A19" s="40" t="s">
        <v>55</v>
      </c>
      <c r="B19" s="45">
        <v>4</v>
      </c>
      <c r="C19" s="7" t="s">
        <v>297</v>
      </c>
      <c r="D19" s="103">
        <v>6481.8998000000001</v>
      </c>
      <c r="E19" s="68">
        <v>5.2195482999999996</v>
      </c>
      <c r="F19" s="68">
        <v>46.711112</v>
      </c>
      <c r="G19" s="68">
        <v>28.626524</v>
      </c>
      <c r="H19" s="92"/>
      <c r="I19" s="93"/>
      <c r="J19" s="93"/>
      <c r="K19" s="93"/>
      <c r="L19" s="94"/>
    </row>
    <row r="20" spans="1:12" ht="14.25" customHeight="1">
      <c r="A20" s="40" t="s">
        <v>55</v>
      </c>
      <c r="B20" s="47">
        <v>5</v>
      </c>
      <c r="C20" s="7" t="s">
        <v>323</v>
      </c>
      <c r="D20" s="103">
        <v>5941.0141000000003</v>
      </c>
      <c r="E20" s="68">
        <v>4.7840002999999998</v>
      </c>
      <c r="F20" s="68">
        <v>42.813277999999997</v>
      </c>
      <c r="G20" s="68">
        <v>25.272855</v>
      </c>
      <c r="H20" s="92"/>
      <c r="I20" s="93"/>
      <c r="J20" s="93"/>
      <c r="K20" s="93"/>
      <c r="L20" s="94"/>
    </row>
    <row r="21" spans="1:12" ht="14.25" customHeight="1">
      <c r="A21" s="40" t="s">
        <v>55</v>
      </c>
      <c r="B21" s="45">
        <v>6</v>
      </c>
      <c r="C21" s="7" t="s">
        <v>298</v>
      </c>
      <c r="D21" s="103">
        <v>3912.2633999999998</v>
      </c>
      <c r="E21" s="68">
        <v>3.1503492</v>
      </c>
      <c r="F21" s="68">
        <v>28.193304000000001</v>
      </c>
      <c r="G21" s="68">
        <v>17.079167000000002</v>
      </c>
      <c r="H21" s="92"/>
      <c r="I21" s="93"/>
      <c r="J21" s="93"/>
      <c r="K21" s="93"/>
      <c r="L21" s="94"/>
    </row>
    <row r="22" spans="1:12" ht="14.25" customHeight="1">
      <c r="A22" s="40" t="s">
        <v>55</v>
      </c>
      <c r="B22" s="47">
        <v>7</v>
      </c>
      <c r="C22" s="7" t="s">
        <v>299</v>
      </c>
      <c r="D22" s="103">
        <v>3853.1514999999999</v>
      </c>
      <c r="E22" s="68">
        <v>3.1027494</v>
      </c>
      <c r="F22" s="68">
        <v>27.767320999999999</v>
      </c>
      <c r="G22" s="68">
        <v>17.424204</v>
      </c>
      <c r="H22" s="92"/>
      <c r="I22" s="93"/>
      <c r="J22" s="93"/>
      <c r="K22" s="93"/>
      <c r="L22" s="94"/>
    </row>
    <row r="23" spans="1:12" ht="14.25" customHeight="1">
      <c r="A23" s="40" t="s">
        <v>55</v>
      </c>
      <c r="B23" s="45">
        <v>8</v>
      </c>
      <c r="C23" s="7" t="s">
        <v>324</v>
      </c>
      <c r="D23" s="103">
        <v>2913.2977000000001</v>
      </c>
      <c r="E23" s="68">
        <v>2.3459322999999999</v>
      </c>
      <c r="F23" s="68">
        <v>20.994365999999999</v>
      </c>
      <c r="G23" s="68">
        <v>12.283227999999999</v>
      </c>
      <c r="H23" s="92"/>
      <c r="I23" s="93"/>
      <c r="J23" s="93"/>
      <c r="K23" s="93"/>
      <c r="L23" s="94"/>
    </row>
    <row r="24" spans="1:12" ht="14.25" customHeight="1">
      <c r="A24" s="40" t="s">
        <v>55</v>
      </c>
      <c r="B24" s="47">
        <v>9</v>
      </c>
      <c r="C24" s="7" t="s">
        <v>302</v>
      </c>
      <c r="D24" s="103">
        <v>2853.3798999999999</v>
      </c>
      <c r="E24" s="68">
        <v>2.2976836</v>
      </c>
      <c r="F24" s="68">
        <v>20.562574999999999</v>
      </c>
      <c r="G24" s="68">
        <v>11.896869000000001</v>
      </c>
      <c r="H24" s="92"/>
      <c r="I24" s="93"/>
      <c r="J24" s="93"/>
      <c r="K24" s="93"/>
      <c r="L24" s="94"/>
    </row>
    <row r="25" spans="1:12" ht="14.25" customHeight="1">
      <c r="A25" s="40" t="s">
        <v>55</v>
      </c>
      <c r="B25" s="45">
        <v>10</v>
      </c>
      <c r="C25" s="7" t="s">
        <v>301</v>
      </c>
      <c r="D25" s="103">
        <v>2714.2872000000002</v>
      </c>
      <c r="E25" s="68">
        <v>2.1856792</v>
      </c>
      <c r="F25" s="68">
        <v>19.560217999999999</v>
      </c>
      <c r="G25" s="68">
        <v>11.233753</v>
      </c>
      <c r="H25" s="92"/>
      <c r="I25" s="93"/>
      <c r="J25" s="93"/>
      <c r="K25" s="93"/>
      <c r="L25" s="94"/>
    </row>
    <row r="26" spans="1:12" ht="14.25" customHeight="1">
      <c r="A26" s="40"/>
      <c r="B26" s="45"/>
      <c r="C26" s="50"/>
    </row>
    <row r="27" spans="1:12" ht="14.25" customHeight="1">
      <c r="A27" s="46" t="s">
        <v>57</v>
      </c>
      <c r="B27" s="47">
        <v>1</v>
      </c>
      <c r="C27" s="7" t="s">
        <v>295</v>
      </c>
      <c r="D27" s="103">
        <v>5521.1764999999996</v>
      </c>
      <c r="E27" s="68">
        <v>10.371975000000001</v>
      </c>
      <c r="F27" s="68">
        <v>87.655766</v>
      </c>
      <c r="G27" s="68">
        <v>59.212432999999997</v>
      </c>
    </row>
    <row r="28" spans="1:12" ht="14.25" customHeight="1">
      <c r="A28" s="46" t="s">
        <v>57</v>
      </c>
      <c r="B28" s="45">
        <v>2</v>
      </c>
      <c r="C28" s="7" t="s">
        <v>294</v>
      </c>
      <c r="D28" s="103">
        <v>3764.7044000000001</v>
      </c>
      <c r="E28" s="68">
        <v>7.0723006000000002</v>
      </c>
      <c r="F28" s="68">
        <v>59.769514999999998</v>
      </c>
      <c r="G28" s="68">
        <v>38.976995000000002</v>
      </c>
    </row>
    <row r="29" spans="1:12" ht="14.25" customHeight="1">
      <c r="A29" s="46" t="s">
        <v>57</v>
      </c>
      <c r="B29" s="47">
        <v>3</v>
      </c>
      <c r="C29" s="7" t="s">
        <v>297</v>
      </c>
      <c r="D29" s="103">
        <v>3195.4899</v>
      </c>
      <c r="E29" s="68">
        <v>6.0029852999999997</v>
      </c>
      <c r="F29" s="68">
        <v>50.732505000000003</v>
      </c>
      <c r="G29" s="68">
        <v>33.626873000000003</v>
      </c>
    </row>
    <row r="30" spans="1:12" ht="14.25" customHeight="1">
      <c r="A30" s="46" t="s">
        <v>57</v>
      </c>
      <c r="B30" s="45">
        <v>4</v>
      </c>
      <c r="C30" s="7" t="s">
        <v>323</v>
      </c>
      <c r="D30" s="103">
        <v>2881.4811</v>
      </c>
      <c r="E30" s="68">
        <v>5.4130944000000003</v>
      </c>
      <c r="F30" s="68">
        <v>45.747211999999998</v>
      </c>
      <c r="G30" s="68">
        <v>29.919354999999999</v>
      </c>
    </row>
    <row r="31" spans="1:12" ht="14.25" customHeight="1">
      <c r="A31" s="46" t="s">
        <v>57</v>
      </c>
      <c r="B31" s="47">
        <v>5</v>
      </c>
      <c r="C31" s="7" t="s">
        <v>296</v>
      </c>
      <c r="D31" s="103">
        <v>2563.9789000000001</v>
      </c>
      <c r="E31" s="68">
        <v>4.8166411</v>
      </c>
      <c r="F31" s="68">
        <v>40.706457</v>
      </c>
      <c r="G31" s="68">
        <v>27.131895</v>
      </c>
    </row>
    <row r="32" spans="1:12" ht="14.25" customHeight="1">
      <c r="A32" s="46" t="s">
        <v>57</v>
      </c>
      <c r="B32" s="45">
        <v>6</v>
      </c>
      <c r="C32" s="7" t="s">
        <v>298</v>
      </c>
      <c r="D32" s="103">
        <v>1844.8467000000001</v>
      </c>
      <c r="E32" s="68">
        <v>3.4656932</v>
      </c>
      <c r="F32" s="68">
        <v>29.28931</v>
      </c>
      <c r="G32" s="68">
        <v>19.632300000000001</v>
      </c>
    </row>
    <row r="33" spans="1:7" ht="14.25" customHeight="1">
      <c r="A33" s="46" t="s">
        <v>57</v>
      </c>
      <c r="B33" s="47">
        <v>7</v>
      </c>
      <c r="C33" s="7" t="s">
        <v>299</v>
      </c>
      <c r="D33" s="103">
        <v>1676.5222000000001</v>
      </c>
      <c r="E33" s="68">
        <v>3.1494821000000002</v>
      </c>
      <c r="F33" s="68">
        <v>26.616942999999999</v>
      </c>
      <c r="G33" s="68">
        <v>18.240449999999999</v>
      </c>
    </row>
    <row r="34" spans="1:7" ht="14.25" customHeight="1">
      <c r="A34" s="46" t="s">
        <v>57</v>
      </c>
      <c r="B34" s="45">
        <v>8</v>
      </c>
      <c r="C34" s="7" t="s">
        <v>302</v>
      </c>
      <c r="D34" s="103">
        <v>1224.2331999999999</v>
      </c>
      <c r="E34" s="68">
        <v>2.2998208</v>
      </c>
      <c r="F34" s="68">
        <v>19.436274000000001</v>
      </c>
      <c r="G34" s="68">
        <v>12.652492000000001</v>
      </c>
    </row>
    <row r="35" spans="1:7" ht="14.25" customHeight="1">
      <c r="A35" s="46" t="s">
        <v>57</v>
      </c>
      <c r="B35" s="47">
        <v>9</v>
      </c>
      <c r="C35" s="7" t="s">
        <v>304</v>
      </c>
      <c r="D35" s="103">
        <v>1141.4970000000001</v>
      </c>
      <c r="E35" s="68">
        <v>2.1443940000000001</v>
      </c>
      <c r="F35" s="68">
        <v>18.122730000000001</v>
      </c>
      <c r="G35" s="68">
        <v>12.137356</v>
      </c>
    </row>
    <row r="36" spans="1:7" ht="14.25" customHeight="1">
      <c r="A36" s="46" t="s">
        <v>57</v>
      </c>
      <c r="B36" s="45">
        <v>10</v>
      </c>
      <c r="C36" s="7" t="s">
        <v>324</v>
      </c>
      <c r="D36" s="103">
        <v>1121.7811999999999</v>
      </c>
      <c r="E36" s="68">
        <v>2.1073563000000002</v>
      </c>
      <c r="F36" s="68">
        <v>17.809716000000002</v>
      </c>
      <c r="G36" s="68">
        <v>11.67708</v>
      </c>
    </row>
    <row r="37" spans="1:7" ht="14.25" customHeight="1">
      <c r="A37" s="46"/>
      <c r="B37" s="45"/>
      <c r="C37" s="50"/>
    </row>
    <row r="38" spans="1:7" ht="14.25" customHeight="1">
      <c r="A38" s="46" t="s">
        <v>58</v>
      </c>
      <c r="B38" s="47">
        <v>1</v>
      </c>
      <c r="C38" s="7" t="s">
        <v>295</v>
      </c>
      <c r="D38" s="103">
        <v>681.10249999999996</v>
      </c>
      <c r="E38" s="68">
        <v>11.547915</v>
      </c>
      <c r="F38" s="68">
        <v>75.188276999999999</v>
      </c>
      <c r="G38" s="68">
        <v>69.659222999999997</v>
      </c>
    </row>
    <row r="39" spans="1:7" ht="14.25" customHeight="1">
      <c r="A39" s="46" t="s">
        <v>58</v>
      </c>
      <c r="B39" s="45">
        <v>2</v>
      </c>
      <c r="C39" s="7" t="s">
        <v>297</v>
      </c>
      <c r="D39" s="103">
        <v>328.88560999999999</v>
      </c>
      <c r="E39" s="68">
        <v>5.5761693000000001</v>
      </c>
      <c r="F39" s="68">
        <v>36.306345</v>
      </c>
      <c r="G39" s="68">
        <v>31.320162</v>
      </c>
    </row>
    <row r="40" spans="1:7" ht="14.25" customHeight="1">
      <c r="A40" s="46" t="s">
        <v>58</v>
      </c>
      <c r="B40" s="47">
        <v>3</v>
      </c>
      <c r="C40" s="7" t="s">
        <v>323</v>
      </c>
      <c r="D40" s="103">
        <v>314.66016999999999</v>
      </c>
      <c r="E40" s="68">
        <v>5.3349808000000003</v>
      </c>
      <c r="F40" s="68">
        <v>34.735970000000002</v>
      </c>
      <c r="G40" s="68">
        <v>31.951920999999999</v>
      </c>
    </row>
    <row r="41" spans="1:7" ht="14.25" customHeight="1">
      <c r="A41" s="46" t="s">
        <v>58</v>
      </c>
      <c r="B41" s="45">
        <v>4</v>
      </c>
      <c r="C41" s="7" t="s">
        <v>294</v>
      </c>
      <c r="D41" s="103">
        <v>312.91633000000002</v>
      </c>
      <c r="E41" s="68">
        <v>5.3054144000000001</v>
      </c>
      <c r="F41" s="68">
        <v>34.543464</v>
      </c>
      <c r="G41" s="68">
        <v>34.934744999999999</v>
      </c>
    </row>
    <row r="42" spans="1:7" ht="14.25" customHeight="1">
      <c r="A42" s="46" t="s">
        <v>58</v>
      </c>
      <c r="B42" s="47">
        <v>5</v>
      </c>
      <c r="C42" s="7" t="s">
        <v>298</v>
      </c>
      <c r="D42" s="103">
        <v>274.8646</v>
      </c>
      <c r="E42" s="68">
        <v>4.6602572000000002</v>
      </c>
      <c r="F42" s="68">
        <v>30.342856999999999</v>
      </c>
      <c r="G42" s="68">
        <v>27.797958000000001</v>
      </c>
    </row>
    <row r="43" spans="1:7" ht="14.25" customHeight="1">
      <c r="A43" s="46" t="s">
        <v>58</v>
      </c>
      <c r="B43" s="45">
        <v>6</v>
      </c>
      <c r="C43" s="7" t="s">
        <v>296</v>
      </c>
      <c r="D43" s="103">
        <v>255.06971999999999</v>
      </c>
      <c r="E43" s="68">
        <v>4.3246403000000004</v>
      </c>
      <c r="F43" s="68">
        <v>28.15766</v>
      </c>
      <c r="G43" s="68">
        <v>26.563427999999998</v>
      </c>
    </row>
    <row r="44" spans="1:7" ht="14.25" customHeight="1">
      <c r="A44" s="46" t="s">
        <v>58</v>
      </c>
      <c r="B44" s="47">
        <v>7</v>
      </c>
      <c r="C44" s="7" t="s">
        <v>303</v>
      </c>
      <c r="D44" s="103">
        <v>184.76486</v>
      </c>
      <c r="E44" s="68">
        <v>3.1326398000000002</v>
      </c>
      <c r="F44" s="68">
        <v>20.396564999999999</v>
      </c>
      <c r="G44" s="68">
        <v>21.328835000000002</v>
      </c>
    </row>
    <row r="45" spans="1:7" ht="14.25" customHeight="1">
      <c r="A45" s="46" t="s">
        <v>58</v>
      </c>
      <c r="B45" s="45">
        <v>8</v>
      </c>
      <c r="C45" s="7" t="s">
        <v>299</v>
      </c>
      <c r="D45" s="103">
        <v>155.40289000000001</v>
      </c>
      <c r="E45" s="68">
        <v>2.6348153999999999</v>
      </c>
      <c r="F45" s="68">
        <v>17.155239000000002</v>
      </c>
      <c r="G45" s="68">
        <v>15.622888</v>
      </c>
    </row>
    <row r="46" spans="1:7" ht="14.25" customHeight="1">
      <c r="A46" s="46" t="s">
        <v>58</v>
      </c>
      <c r="B46" s="47">
        <v>9</v>
      </c>
      <c r="C46" s="7" t="s">
        <v>305</v>
      </c>
      <c r="D46" s="103">
        <v>140.99741</v>
      </c>
      <c r="E46" s="68">
        <v>2.3905740999999998</v>
      </c>
      <c r="F46" s="68">
        <v>15.564988</v>
      </c>
      <c r="G46" s="68">
        <v>16.213011000000002</v>
      </c>
    </row>
    <row r="47" spans="1:7" ht="14.25" customHeight="1">
      <c r="A47" s="46" t="s">
        <v>58</v>
      </c>
      <c r="B47" s="45">
        <v>10</v>
      </c>
      <c r="C47" s="7" t="s">
        <v>325</v>
      </c>
      <c r="D47" s="103">
        <v>133.80653000000001</v>
      </c>
      <c r="E47" s="68">
        <v>2.2686546999999999</v>
      </c>
      <c r="F47" s="68">
        <v>14.771172999999999</v>
      </c>
      <c r="G47" s="68">
        <v>13.918666999999999</v>
      </c>
    </row>
    <row r="48" spans="1:7" ht="14.25" customHeight="1">
      <c r="C48" s="50"/>
    </row>
    <row r="49" spans="1:7" ht="14.25" customHeight="1">
      <c r="A49" s="46" t="s">
        <v>59</v>
      </c>
      <c r="B49" s="45">
        <v>1</v>
      </c>
      <c r="C49" s="7" t="s">
        <v>295</v>
      </c>
      <c r="D49" s="103">
        <v>455.74376000000001</v>
      </c>
      <c r="E49" s="68">
        <v>12.758228000000001</v>
      </c>
      <c r="F49" s="68">
        <v>77.244760999999997</v>
      </c>
      <c r="G49" s="68">
        <v>96.388262999999995</v>
      </c>
    </row>
    <row r="50" spans="1:7" ht="14.25" customHeight="1">
      <c r="A50" s="46" t="s">
        <v>59</v>
      </c>
      <c r="B50" s="47">
        <v>2</v>
      </c>
      <c r="C50" s="7" t="s">
        <v>298</v>
      </c>
      <c r="D50" s="103">
        <v>272.18342000000001</v>
      </c>
      <c r="E50" s="68">
        <v>7.6195842999999996</v>
      </c>
      <c r="F50" s="68">
        <v>46.132815999999998</v>
      </c>
      <c r="G50" s="68">
        <v>55.074706999999997</v>
      </c>
    </row>
    <row r="51" spans="1:7" ht="14.25" customHeight="1">
      <c r="A51" s="46" t="s">
        <v>59</v>
      </c>
      <c r="B51" s="45">
        <v>3</v>
      </c>
      <c r="C51" s="7" t="s">
        <v>323</v>
      </c>
      <c r="D51" s="103">
        <v>188.83452</v>
      </c>
      <c r="E51" s="68">
        <v>5.2862901000000004</v>
      </c>
      <c r="F51" s="68">
        <v>32.005873999999999</v>
      </c>
      <c r="G51" s="68">
        <v>42.636971000000003</v>
      </c>
    </row>
    <row r="52" spans="1:7" ht="14.25" customHeight="1">
      <c r="A52" s="46" t="s">
        <v>59</v>
      </c>
      <c r="B52" s="47">
        <v>4</v>
      </c>
      <c r="C52" s="7" t="s">
        <v>297</v>
      </c>
      <c r="D52" s="103">
        <v>175.53171</v>
      </c>
      <c r="E52" s="68">
        <v>4.9138874000000001</v>
      </c>
      <c r="F52" s="68">
        <v>29.751159000000001</v>
      </c>
      <c r="G52" s="68">
        <v>34.627912999999999</v>
      </c>
    </row>
    <row r="53" spans="1:7" ht="14.25" customHeight="1">
      <c r="A53" s="46" t="s">
        <v>59</v>
      </c>
      <c r="B53" s="45">
        <v>5</v>
      </c>
      <c r="C53" s="7" t="s">
        <v>294</v>
      </c>
      <c r="D53" s="103">
        <v>148.35900000000001</v>
      </c>
      <c r="E53" s="68">
        <v>4.1532064000000002</v>
      </c>
      <c r="F53" s="68">
        <v>25.145612</v>
      </c>
      <c r="G53" s="68">
        <v>45.558314000000003</v>
      </c>
    </row>
    <row r="54" spans="1:7" ht="14.25" customHeight="1">
      <c r="A54" s="46" t="s">
        <v>59</v>
      </c>
      <c r="B54" s="47">
        <v>6</v>
      </c>
      <c r="C54" s="7" t="s">
        <v>303</v>
      </c>
      <c r="D54" s="103">
        <v>138.15044</v>
      </c>
      <c r="E54" s="68">
        <v>3.8674249000000001</v>
      </c>
      <c r="F54" s="68">
        <v>23.415346</v>
      </c>
      <c r="G54" s="68">
        <v>24.465568000000001</v>
      </c>
    </row>
    <row r="55" spans="1:7" ht="14.25" customHeight="1">
      <c r="A55" s="46" t="s">
        <v>59</v>
      </c>
      <c r="B55" s="45">
        <v>7</v>
      </c>
      <c r="C55" s="7" t="s">
        <v>296</v>
      </c>
      <c r="D55" s="103">
        <v>125.73586</v>
      </c>
      <c r="E55" s="68">
        <v>3.5198873000000002</v>
      </c>
      <c r="F55" s="68">
        <v>21.311178000000002</v>
      </c>
      <c r="G55" s="68">
        <v>29.731663000000001</v>
      </c>
    </row>
    <row r="56" spans="1:7" ht="14.25" customHeight="1">
      <c r="A56" s="46" t="s">
        <v>59</v>
      </c>
      <c r="B56" s="47">
        <v>8</v>
      </c>
      <c r="C56" s="7" t="s">
        <v>305</v>
      </c>
      <c r="D56" s="103">
        <v>115.40433</v>
      </c>
      <c r="E56" s="68">
        <v>3.2306634000000001</v>
      </c>
      <c r="F56" s="68">
        <v>19.56007</v>
      </c>
      <c r="G56" s="68">
        <v>19.592835999999998</v>
      </c>
    </row>
    <row r="57" spans="1:7" ht="14.25" customHeight="1">
      <c r="A57" s="46" t="s">
        <v>59</v>
      </c>
      <c r="B57" s="45">
        <v>9</v>
      </c>
      <c r="C57" s="7" t="s">
        <v>306</v>
      </c>
      <c r="D57" s="103">
        <v>74.136437999999998</v>
      </c>
      <c r="E57" s="68">
        <v>2.0753976999999999</v>
      </c>
      <c r="F57" s="68">
        <v>12.565507</v>
      </c>
      <c r="G57" s="68">
        <v>17.339136</v>
      </c>
    </row>
    <row r="58" spans="1:7" ht="14.25" customHeight="1">
      <c r="A58" s="48" t="s">
        <v>59</v>
      </c>
      <c r="B58" s="54">
        <v>10</v>
      </c>
      <c r="C58" s="14" t="s">
        <v>299</v>
      </c>
      <c r="D58" s="105">
        <v>71.876366000000004</v>
      </c>
      <c r="E58" s="106">
        <v>2.0121285000000002</v>
      </c>
      <c r="F58" s="106">
        <v>12.182444</v>
      </c>
      <c r="G58" s="106">
        <v>17.371635999999999</v>
      </c>
    </row>
    <row r="59" spans="1:7">
      <c r="A59" s="46" t="s">
        <v>62</v>
      </c>
    </row>
    <row r="60" spans="1:7">
      <c r="A60" s="193" t="s">
        <v>65</v>
      </c>
      <c r="B60" s="193"/>
      <c r="C60" s="193"/>
      <c r="D60" s="193"/>
      <c r="E60" s="193"/>
      <c r="F60" s="193"/>
      <c r="G60" s="193"/>
    </row>
    <row r="61" spans="1:7">
      <c r="A61" s="55" t="s">
        <v>351</v>
      </c>
      <c r="B61" s="55"/>
      <c r="C61" s="55"/>
      <c r="D61" s="55"/>
      <c r="E61" s="55"/>
      <c r="F61" s="55"/>
      <c r="G61" s="55"/>
    </row>
  </sheetData>
  <mergeCells count="1">
    <mergeCell ref="A60:G6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D2BE-F033-4773-ABA4-141DE5F06762}">
  <dimension ref="A1:M21"/>
  <sheetViews>
    <sheetView zoomScaleNormal="100" workbookViewId="0"/>
  </sheetViews>
  <sheetFormatPr defaultColWidth="9" defaultRowHeight="11.25"/>
  <cols>
    <col min="1" max="1" width="20.375" style="81" customWidth="1"/>
    <col min="2" max="2" width="9" style="81"/>
    <col min="3" max="3" width="8.625" style="81" customWidth="1"/>
    <col min="4" max="4" width="15.75" style="81" customWidth="1"/>
    <col min="5" max="5" width="2.25" style="81" customWidth="1"/>
    <col min="6" max="6" width="18.25" style="81" customWidth="1"/>
    <col min="7" max="16384" width="9" style="81"/>
  </cols>
  <sheetData>
    <row r="1" spans="1:13" ht="12.75">
      <c r="A1" s="151" t="s">
        <v>334</v>
      </c>
      <c r="B1" s="123"/>
      <c r="C1" s="123"/>
      <c r="D1" s="123"/>
      <c r="E1" s="123"/>
      <c r="F1" s="123"/>
      <c r="G1" s="123"/>
      <c r="H1" s="123"/>
    </row>
    <row r="2" spans="1:13">
      <c r="A2" s="133"/>
      <c r="B2" s="133"/>
      <c r="C2" s="133"/>
      <c r="D2" s="133"/>
      <c r="E2" s="133"/>
      <c r="F2" s="133"/>
      <c r="H2" s="125"/>
      <c r="I2" s="125"/>
      <c r="J2" s="125"/>
      <c r="K2" s="125"/>
      <c r="L2" s="125"/>
      <c r="M2" s="125"/>
    </row>
    <row r="3" spans="1:13" ht="23.25" customHeight="1">
      <c r="A3" s="115" t="s">
        <v>23</v>
      </c>
      <c r="B3" s="115"/>
      <c r="C3" s="194" t="s">
        <v>349</v>
      </c>
      <c r="D3" s="194"/>
      <c r="E3" s="194" t="s">
        <v>92</v>
      </c>
      <c r="F3" s="194"/>
      <c r="H3" s="125"/>
      <c r="I3" s="125"/>
      <c r="J3" s="125"/>
      <c r="K3" s="125"/>
      <c r="L3" s="125"/>
      <c r="M3" s="125"/>
    </row>
    <row r="4" spans="1:13">
      <c r="A4" s="75"/>
      <c r="B4" s="80"/>
      <c r="H4" s="125"/>
      <c r="I4" s="125"/>
      <c r="J4" s="125"/>
      <c r="K4" s="125"/>
      <c r="L4" s="125"/>
      <c r="M4" s="125"/>
    </row>
    <row r="5" spans="1:13">
      <c r="A5" s="38" t="s">
        <v>35</v>
      </c>
      <c r="B5" s="38" t="s">
        <v>0</v>
      </c>
      <c r="D5" s="113">
        <v>113.3</v>
      </c>
      <c r="F5" s="113">
        <v>1</v>
      </c>
      <c r="H5" s="125"/>
      <c r="I5" s="125"/>
      <c r="J5" s="125"/>
      <c r="K5" s="125"/>
      <c r="L5" s="125"/>
      <c r="M5" s="125"/>
    </row>
    <row r="6" spans="1:13">
      <c r="A6" s="38"/>
      <c r="B6" s="38" t="s">
        <v>1</v>
      </c>
      <c r="D6" s="42">
        <v>62.4</v>
      </c>
      <c r="F6" s="113">
        <v>1</v>
      </c>
    </row>
    <row r="7" spans="1:13">
      <c r="A7" s="38" t="s">
        <v>36</v>
      </c>
      <c r="B7" s="38" t="s">
        <v>91</v>
      </c>
      <c r="D7" s="113">
        <v>147.69999999999999</v>
      </c>
      <c r="F7" s="113">
        <f>D7/D5</f>
        <v>1.3036187113857016</v>
      </c>
    </row>
    <row r="8" spans="1:13">
      <c r="A8" s="38"/>
      <c r="B8" s="38" t="s">
        <v>1</v>
      </c>
      <c r="D8" s="42">
        <v>79.5</v>
      </c>
      <c r="F8" s="113">
        <f>D8/D6</f>
        <v>1.2740384615384617</v>
      </c>
    </row>
    <row r="9" spans="1:13">
      <c r="A9" s="38" t="s">
        <v>37</v>
      </c>
      <c r="B9" s="38" t="s">
        <v>0</v>
      </c>
      <c r="D9" s="113">
        <v>167.3</v>
      </c>
      <c r="F9" s="113">
        <f>D9/D5</f>
        <v>1.4766107678729039</v>
      </c>
    </row>
    <row r="10" spans="1:13">
      <c r="A10" s="38"/>
      <c r="B10" s="38" t="s">
        <v>1</v>
      </c>
      <c r="D10" s="113">
        <v>90.9</v>
      </c>
      <c r="F10" s="113">
        <f>D10/D6</f>
        <v>1.4567307692307694</v>
      </c>
      <c r="I10" s="43"/>
    </row>
    <row r="11" spans="1:13">
      <c r="A11" s="38" t="s">
        <v>38</v>
      </c>
      <c r="B11" s="38" t="s">
        <v>0</v>
      </c>
      <c r="D11" s="113">
        <v>205.1</v>
      </c>
      <c r="F11" s="113">
        <f>D11/D5</f>
        <v>1.8102383053839364</v>
      </c>
    </row>
    <row r="12" spans="1:13">
      <c r="A12" s="38"/>
      <c r="B12" s="38" t="s">
        <v>1</v>
      </c>
      <c r="D12" s="113">
        <v>123.3</v>
      </c>
      <c r="F12" s="113">
        <f>D12/D6</f>
        <v>1.9759615384615385</v>
      </c>
    </row>
    <row r="13" spans="1:13">
      <c r="A13" s="38" t="s">
        <v>39</v>
      </c>
      <c r="B13" s="38" t="s">
        <v>0</v>
      </c>
      <c r="D13" s="113">
        <v>275.5</v>
      </c>
      <c r="F13" s="113">
        <f>D13/D5</f>
        <v>2.4315975286849074</v>
      </c>
    </row>
    <row r="14" spans="1:13">
      <c r="A14" s="39"/>
      <c r="B14" s="39" t="s">
        <v>1</v>
      </c>
      <c r="C14" s="131"/>
      <c r="D14" s="114">
        <v>210.9</v>
      </c>
      <c r="E14" s="131"/>
      <c r="F14" s="114">
        <f>D14/D6</f>
        <v>3.3798076923076925</v>
      </c>
    </row>
    <row r="15" spans="1:13">
      <c r="A15" s="43" t="s">
        <v>13</v>
      </c>
    </row>
    <row r="16" spans="1:13" s="136" customFormat="1">
      <c r="A16" s="81" t="s">
        <v>316</v>
      </c>
      <c r="B16" s="134"/>
      <c r="C16" s="135"/>
      <c r="D16" s="135"/>
      <c r="E16" s="135"/>
    </row>
    <row r="17" spans="1:10" s="136" customFormat="1">
      <c r="A17" s="81" t="s">
        <v>317</v>
      </c>
      <c r="B17" s="137"/>
      <c r="C17" s="135"/>
      <c r="D17" s="135"/>
      <c r="E17" s="135"/>
    </row>
    <row r="18" spans="1:10" s="136" customFormat="1">
      <c r="A18" s="81" t="s">
        <v>318</v>
      </c>
      <c r="C18" s="138"/>
      <c r="D18" s="138"/>
      <c r="E18" s="138"/>
    </row>
    <row r="19" spans="1:10" s="136" customFormat="1">
      <c r="A19" s="81" t="s">
        <v>319</v>
      </c>
      <c r="B19" s="137"/>
      <c r="C19" s="135"/>
      <c r="D19" s="135"/>
      <c r="E19" s="135"/>
    </row>
    <row r="20" spans="1:10" s="136" customFormat="1">
      <c r="A20" s="81" t="s">
        <v>320</v>
      </c>
      <c r="C20" s="139"/>
      <c r="D20" s="138"/>
      <c r="E20" s="139"/>
      <c r="G20" s="139"/>
      <c r="I20" s="139"/>
      <c r="J20" s="139"/>
    </row>
    <row r="21" spans="1:10">
      <c r="A21" s="81" t="s">
        <v>352</v>
      </c>
    </row>
  </sheetData>
  <mergeCells count="2">
    <mergeCell ref="C3:D3"/>
    <mergeCell ref="E3:F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43D1-377D-4EAC-B97C-FB040191E24D}">
  <dimension ref="A1:S17"/>
  <sheetViews>
    <sheetView zoomScaleNormal="100" workbookViewId="0">
      <selection sqref="A1:K1"/>
    </sheetView>
  </sheetViews>
  <sheetFormatPr defaultColWidth="9" defaultRowHeight="11.25"/>
  <cols>
    <col min="1" max="1" width="9" style="81"/>
    <col min="2" max="2" width="14" style="81" customWidth="1"/>
    <col min="3" max="3" width="11" style="81" customWidth="1"/>
    <col min="4" max="4" width="9" style="81"/>
    <col min="5" max="5" width="15" style="81" customWidth="1"/>
    <col min="6" max="6" width="9" style="81"/>
    <col min="7" max="7" width="9.75" style="81" customWidth="1"/>
    <col min="8" max="8" width="13.75" style="81" customWidth="1"/>
    <col min="9" max="10" width="9" style="81"/>
    <col min="11" max="11" width="14.25" style="81" customWidth="1"/>
    <col min="12" max="13" width="9" style="81"/>
    <col min="14" max="14" width="13.875" style="81" customWidth="1"/>
    <col min="15" max="16384" width="9" style="81"/>
  </cols>
  <sheetData>
    <row r="1" spans="1:16" ht="13.5">
      <c r="A1" s="196" t="s">
        <v>357</v>
      </c>
      <c r="B1" s="196"/>
      <c r="C1" s="196"/>
      <c r="D1" s="196"/>
      <c r="E1" s="196"/>
      <c r="F1" s="196"/>
      <c r="G1" s="196"/>
      <c r="H1" s="196"/>
      <c r="I1" s="196"/>
      <c r="J1" s="196"/>
      <c r="K1" s="196"/>
    </row>
    <row r="3" spans="1:16">
      <c r="A3" s="140"/>
      <c r="B3" s="195" t="s">
        <v>68</v>
      </c>
      <c r="C3" s="195"/>
      <c r="D3" s="195"/>
      <c r="E3" s="195" t="s">
        <v>55</v>
      </c>
      <c r="F3" s="195"/>
      <c r="G3" s="195"/>
      <c r="H3" s="195" t="s">
        <v>69</v>
      </c>
      <c r="I3" s="195"/>
      <c r="J3" s="195"/>
      <c r="K3" s="195" t="s">
        <v>58</v>
      </c>
      <c r="L3" s="195"/>
      <c r="M3" s="195"/>
      <c r="N3" s="195" t="s">
        <v>39</v>
      </c>
      <c r="O3" s="195"/>
      <c r="P3" s="195"/>
    </row>
    <row r="4" spans="1:16">
      <c r="A4" s="122" t="s">
        <v>66</v>
      </c>
      <c r="B4" s="123" t="s">
        <v>321</v>
      </c>
      <c r="C4" s="123" t="s">
        <v>322</v>
      </c>
      <c r="D4" s="123" t="s">
        <v>326</v>
      </c>
      <c r="E4" s="123" t="s">
        <v>321</v>
      </c>
      <c r="F4" s="123" t="s">
        <v>322</v>
      </c>
      <c r="G4" s="123" t="s">
        <v>326</v>
      </c>
      <c r="H4" s="123" t="s">
        <v>321</v>
      </c>
      <c r="I4" s="123" t="s">
        <v>322</v>
      </c>
      <c r="J4" s="123" t="s">
        <v>326</v>
      </c>
      <c r="K4" s="123" t="s">
        <v>321</v>
      </c>
      <c r="L4" s="123" t="s">
        <v>322</v>
      </c>
      <c r="M4" s="123" t="s">
        <v>326</v>
      </c>
      <c r="N4" s="123" t="s">
        <v>321</v>
      </c>
      <c r="O4" s="123" t="s">
        <v>322</v>
      </c>
      <c r="P4" s="123" t="s">
        <v>326</v>
      </c>
    </row>
    <row r="5" spans="1:16">
      <c r="A5" s="38" t="s">
        <v>358</v>
      </c>
      <c r="B5" s="160">
        <v>2.1529445227979198</v>
      </c>
      <c r="C5" s="160">
        <v>7.10089654415252</v>
      </c>
      <c r="D5" s="160">
        <v>9.2538410669504394</v>
      </c>
      <c r="E5" s="160">
        <v>4.49609827820513</v>
      </c>
      <c r="F5" s="160">
        <v>6.1770198288959204</v>
      </c>
      <c r="G5" s="160">
        <v>10.67311810710105</v>
      </c>
      <c r="H5" s="160">
        <v>4.5924260277303004</v>
      </c>
      <c r="I5" s="160">
        <v>4.3633195055240801</v>
      </c>
      <c r="J5" s="160">
        <v>8.9557455332543796</v>
      </c>
      <c r="K5" s="160">
        <v>3.8329885851962602</v>
      </c>
      <c r="L5" s="160">
        <v>3.1576768080297102</v>
      </c>
      <c r="M5" s="160">
        <v>6.9906653932259708</v>
      </c>
      <c r="N5" s="160">
        <v>3.1541481529755502</v>
      </c>
      <c r="O5" s="160">
        <v>1.8492864449565301</v>
      </c>
      <c r="P5" s="160">
        <v>5.0034345979320802</v>
      </c>
    </row>
    <row r="6" spans="1:16">
      <c r="A6" s="38" t="s">
        <v>359</v>
      </c>
      <c r="B6" s="161">
        <v>4.4153769849431299</v>
      </c>
      <c r="C6" s="161">
        <v>14.691743544836401</v>
      </c>
      <c r="D6" s="161">
        <v>19.107120529779529</v>
      </c>
      <c r="E6" s="161">
        <v>6.4670130886177697</v>
      </c>
      <c r="F6" s="161">
        <v>12.1600479690873</v>
      </c>
      <c r="G6" s="161">
        <v>18.62706105770507</v>
      </c>
      <c r="H6" s="161">
        <v>6.22090812264448</v>
      </c>
      <c r="I6" s="161">
        <v>8.2544286178432795</v>
      </c>
      <c r="J6" s="161">
        <v>14.475336740487759</v>
      </c>
      <c r="K6" s="161">
        <v>4.6175606351992604</v>
      </c>
      <c r="L6" s="161">
        <v>6.2495694091677398</v>
      </c>
      <c r="M6" s="161">
        <v>10.867130044367</v>
      </c>
      <c r="N6" s="161">
        <v>3.45949340758267</v>
      </c>
      <c r="O6" s="161">
        <v>4.0440283892551996</v>
      </c>
      <c r="P6" s="161">
        <v>7.5035217968378696</v>
      </c>
    </row>
    <row r="7" spans="1:16">
      <c r="A7" s="38" t="s">
        <v>360</v>
      </c>
      <c r="B7" s="161">
        <v>6.2272904652852796</v>
      </c>
      <c r="C7" s="161">
        <v>16.650021280265001</v>
      </c>
      <c r="D7" s="161">
        <v>22.87731174555028</v>
      </c>
      <c r="E7" s="161">
        <v>7.2434053808020398</v>
      </c>
      <c r="F7" s="161">
        <v>13.2390396940072</v>
      </c>
      <c r="G7" s="161">
        <v>20.482445074809242</v>
      </c>
      <c r="H7" s="161">
        <v>6.4890628521892504</v>
      </c>
      <c r="I7" s="161">
        <v>9.7061945032579704</v>
      </c>
      <c r="J7" s="161">
        <v>16.195257355447222</v>
      </c>
      <c r="K7" s="161">
        <v>4.6841416849969999</v>
      </c>
      <c r="L7" s="161">
        <v>7.7949729938280399</v>
      </c>
      <c r="M7" s="161">
        <v>12.47911467882504</v>
      </c>
      <c r="N7" s="161">
        <v>3.4519204884765098</v>
      </c>
      <c r="O7" s="161">
        <v>4.7600958593783798</v>
      </c>
      <c r="P7" s="161">
        <v>8.21201634785489</v>
      </c>
    </row>
    <row r="8" spans="1:16">
      <c r="A8" s="39" t="s">
        <v>361</v>
      </c>
      <c r="B8" s="162">
        <v>6.3941706953699597</v>
      </c>
      <c r="C8" s="162">
        <v>6.45954562707729</v>
      </c>
      <c r="D8" s="162">
        <v>12.85371632244725</v>
      </c>
      <c r="E8" s="162">
        <v>7.8055319573826498</v>
      </c>
      <c r="F8" s="162">
        <v>6.4962609809185103</v>
      </c>
      <c r="G8" s="162">
        <v>14.30179293830116</v>
      </c>
      <c r="H8" s="162">
        <v>7.2200776452315196</v>
      </c>
      <c r="I8" s="162">
        <v>5.0933926435380403</v>
      </c>
      <c r="J8" s="162">
        <v>12.31347028876956</v>
      </c>
      <c r="K8" s="162">
        <v>5.7898217237856304</v>
      </c>
      <c r="L8" s="162">
        <v>4.5849099987396098</v>
      </c>
      <c r="M8" s="162">
        <v>10.37473172252524</v>
      </c>
      <c r="N8" s="162">
        <v>4.33082993648451</v>
      </c>
      <c r="O8" s="162">
        <v>2.9109106544935601</v>
      </c>
      <c r="P8" s="162">
        <v>7.2417405909780701</v>
      </c>
    </row>
    <row r="9" spans="1:16">
      <c r="A9" s="125" t="s">
        <v>13</v>
      </c>
      <c r="C9" s="113"/>
      <c r="D9" s="113"/>
      <c r="E9" s="113"/>
      <c r="F9" s="113"/>
      <c r="G9" s="113"/>
      <c r="H9" s="113"/>
      <c r="I9" s="113"/>
      <c r="J9" s="113"/>
      <c r="K9" s="113"/>
      <c r="L9" s="113"/>
      <c r="M9" s="113"/>
      <c r="N9" s="113"/>
      <c r="O9" s="113"/>
    </row>
    <row r="10" spans="1:16">
      <c r="A10" s="125" t="s">
        <v>336</v>
      </c>
      <c r="B10" s="149"/>
      <c r="C10" s="150"/>
      <c r="D10" s="150"/>
      <c r="E10" s="150"/>
      <c r="F10" s="150"/>
      <c r="G10" s="113"/>
      <c r="H10" s="113"/>
      <c r="I10" s="113"/>
      <c r="J10" s="113"/>
      <c r="K10" s="113"/>
      <c r="L10" s="113"/>
      <c r="M10" s="113"/>
      <c r="N10" s="113"/>
      <c r="O10" s="113"/>
    </row>
    <row r="11" spans="1:16">
      <c r="A11" s="125" t="s">
        <v>312</v>
      </c>
      <c r="B11" s="149"/>
      <c r="C11" s="150"/>
      <c r="D11" s="150"/>
      <c r="E11" s="150"/>
      <c r="F11" s="150"/>
      <c r="G11" s="113"/>
      <c r="H11" s="113"/>
      <c r="I11" s="113"/>
      <c r="J11" s="113"/>
      <c r="K11" s="113"/>
      <c r="L11" s="113"/>
      <c r="M11" s="113"/>
      <c r="N11" s="113"/>
      <c r="O11" s="113"/>
    </row>
    <row r="12" spans="1:16">
      <c r="A12" s="125" t="s">
        <v>335</v>
      </c>
      <c r="B12" s="149"/>
      <c r="C12" s="150"/>
      <c r="D12" s="150"/>
      <c r="E12" s="150"/>
      <c r="F12" s="150"/>
      <c r="G12" s="113"/>
      <c r="H12" s="113"/>
      <c r="I12" s="113"/>
      <c r="J12" s="113"/>
      <c r="K12" s="113"/>
      <c r="L12" s="113"/>
      <c r="M12" s="113"/>
      <c r="N12" s="113"/>
      <c r="O12" s="113"/>
    </row>
    <row r="13" spans="1:16">
      <c r="A13" s="125" t="s">
        <v>311</v>
      </c>
      <c r="B13" s="149"/>
      <c r="C13" s="150"/>
      <c r="D13" s="150"/>
      <c r="E13" s="150"/>
      <c r="F13" s="150"/>
      <c r="G13" s="113"/>
      <c r="H13" s="113"/>
      <c r="I13" s="113"/>
      <c r="J13" s="113"/>
      <c r="K13" s="113"/>
      <c r="L13" s="113"/>
      <c r="M13" s="113"/>
      <c r="N13" s="113"/>
      <c r="O13" s="113"/>
    </row>
    <row r="14" spans="1:16" s="149" customFormat="1">
      <c r="A14" s="125" t="s">
        <v>356</v>
      </c>
      <c r="C14" s="150"/>
      <c r="D14" s="150"/>
      <c r="E14" s="150"/>
      <c r="F14" s="150"/>
      <c r="G14" s="150"/>
      <c r="H14" s="150"/>
      <c r="I14" s="150"/>
      <c r="J14" s="150"/>
      <c r="K14" s="150"/>
      <c r="L14" s="150"/>
      <c r="M14" s="150"/>
      <c r="N14" s="150"/>
      <c r="O14" s="150"/>
    </row>
    <row r="15" spans="1:16">
      <c r="A15" s="149"/>
      <c r="B15" s="149"/>
      <c r="C15" s="150"/>
      <c r="D15" s="150"/>
      <c r="E15" s="150"/>
      <c r="F15" s="150"/>
      <c r="G15" s="113"/>
      <c r="H15" s="113"/>
      <c r="I15" s="113"/>
      <c r="J15" s="113"/>
      <c r="K15" s="113"/>
      <c r="L15" s="113"/>
      <c r="M15" s="113"/>
      <c r="N15" s="113"/>
      <c r="O15" s="113"/>
    </row>
    <row r="16" spans="1:16">
      <c r="A16" s="149"/>
      <c r="B16" s="149"/>
      <c r="C16" s="149"/>
      <c r="D16" s="149"/>
      <c r="E16" s="149"/>
      <c r="F16" s="149"/>
    </row>
    <row r="17" spans="1:19">
      <c r="A17" s="112"/>
      <c r="B17" s="112"/>
      <c r="C17" s="112"/>
      <c r="D17" s="112"/>
      <c r="E17" s="112"/>
      <c r="F17" s="112"/>
      <c r="G17" s="112"/>
      <c r="H17" s="112"/>
      <c r="I17" s="112"/>
      <c r="J17" s="112"/>
      <c r="K17" s="112"/>
      <c r="L17" s="112"/>
      <c r="M17" s="112"/>
      <c r="N17" s="112"/>
      <c r="O17" s="112"/>
      <c r="P17" s="112"/>
      <c r="Q17" s="112"/>
      <c r="R17" s="112"/>
      <c r="S17" s="112"/>
    </row>
  </sheetData>
  <sortState xmlns:xlrd2="http://schemas.microsoft.com/office/spreadsheetml/2017/richdata2" ref="D11:H29">
    <sortCondition ref="E11:E29" customList="Major Cities of Australia,Inner Regional Australia,Outer Regional Australia,Remote Australia,Very Remote Australia"/>
  </sortState>
  <mergeCells count="6">
    <mergeCell ref="B3:D3"/>
    <mergeCell ref="A1:K1"/>
    <mergeCell ref="N3:P3"/>
    <mergeCell ref="K3:M3"/>
    <mergeCell ref="H3:J3"/>
    <mergeCell ref="E3:G3"/>
  </mergeCells>
  <phoneticPr fontId="2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018E-C548-4C3B-919B-E037D189E5B2}">
  <dimension ref="A1:Z99"/>
  <sheetViews>
    <sheetView zoomScaleNormal="100" workbookViewId="0"/>
  </sheetViews>
  <sheetFormatPr defaultColWidth="9" defaultRowHeight="11.25"/>
  <cols>
    <col min="1" max="1" width="9" style="110"/>
    <col min="2" max="2" width="31.625" style="81" customWidth="1"/>
    <col min="3" max="3" width="9.875" style="81" customWidth="1"/>
    <col min="4" max="4" width="12" style="81" customWidth="1"/>
    <col min="5" max="5" width="11" style="81" customWidth="1"/>
    <col min="6" max="6" width="10.625" style="81" customWidth="1"/>
    <col min="7" max="7" width="11" style="81" customWidth="1"/>
    <col min="8" max="8" width="10.5" style="81" customWidth="1"/>
    <col min="9" max="9" width="11.875" style="81" customWidth="1"/>
    <col min="10" max="11" width="9" style="81"/>
    <col min="12" max="12" width="18.375" style="81" customWidth="1"/>
    <col min="13" max="16384" width="9" style="81"/>
  </cols>
  <sheetData>
    <row r="1" spans="1:26" ht="12.75">
      <c r="A1" s="18" t="s">
        <v>341</v>
      </c>
      <c r="B1" s="141"/>
      <c r="C1" s="141"/>
      <c r="D1" s="141"/>
      <c r="E1" s="141"/>
      <c r="F1" s="141"/>
      <c r="I1" s="144"/>
      <c r="J1" s="43"/>
      <c r="K1" s="43"/>
      <c r="L1" s="43"/>
      <c r="M1" s="43"/>
    </row>
    <row r="2" spans="1:26">
      <c r="A2" s="141"/>
      <c r="B2" s="141"/>
      <c r="C2" s="141"/>
      <c r="D2" s="141"/>
      <c r="E2" s="141"/>
      <c r="F2" s="141"/>
      <c r="I2" s="112"/>
      <c r="J2" s="112"/>
      <c r="L2" s="112"/>
      <c r="M2" s="112"/>
      <c r="N2" s="112"/>
      <c r="O2" s="112"/>
      <c r="P2" s="112"/>
    </row>
    <row r="3" spans="1:26">
      <c r="A3" s="81"/>
      <c r="B3" s="198" t="s">
        <v>67</v>
      </c>
      <c r="C3" s="198"/>
      <c r="D3" s="198"/>
      <c r="E3" s="198"/>
      <c r="F3" s="198"/>
      <c r="G3" s="198"/>
      <c r="H3" s="198"/>
      <c r="I3" s="112"/>
      <c r="J3" s="112"/>
      <c r="K3" s="112"/>
      <c r="L3" s="112"/>
      <c r="M3" s="112"/>
      <c r="N3" s="112"/>
      <c r="O3" s="112"/>
      <c r="P3" s="112"/>
    </row>
    <row r="4" spans="1:26" ht="33.75">
      <c r="A4" s="111" t="s">
        <v>66</v>
      </c>
      <c r="B4" s="71" t="s">
        <v>45</v>
      </c>
      <c r="C4" s="58" t="s">
        <v>74</v>
      </c>
      <c r="D4" s="58" t="s">
        <v>75</v>
      </c>
      <c r="E4" s="58" t="s">
        <v>76</v>
      </c>
      <c r="F4" s="58" t="s">
        <v>77</v>
      </c>
      <c r="G4" s="58" t="s">
        <v>78</v>
      </c>
      <c r="H4" s="58" t="s">
        <v>79</v>
      </c>
      <c r="I4" s="58" t="s">
        <v>80</v>
      </c>
    </row>
    <row r="5" spans="1:26">
      <c r="B5" s="119"/>
      <c r="C5" s="197" t="s">
        <v>315</v>
      </c>
      <c r="D5" s="197"/>
      <c r="E5" s="197"/>
      <c r="F5" s="197"/>
      <c r="G5" s="197"/>
      <c r="H5" s="197"/>
      <c r="I5" s="197"/>
    </row>
    <row r="6" spans="1:26">
      <c r="A6" s="110">
        <v>2016</v>
      </c>
      <c r="B6" s="124" t="s">
        <v>46</v>
      </c>
      <c r="C6" s="116">
        <v>103.6</v>
      </c>
      <c r="D6" s="116">
        <v>106.8</v>
      </c>
      <c r="E6" s="116">
        <v>120.1</v>
      </c>
      <c r="F6" s="116">
        <v>131.1</v>
      </c>
      <c r="G6" s="116">
        <v>76.099999999999994</v>
      </c>
      <c r="H6" s="116">
        <v>129.4</v>
      </c>
      <c r="I6" s="116">
        <v>152.69999999999999</v>
      </c>
      <c r="K6" s="124"/>
      <c r="L6" s="17"/>
      <c r="M6" s="113"/>
      <c r="N6" s="113"/>
      <c r="P6" s="113"/>
      <c r="Q6" s="117"/>
      <c r="R6" s="113"/>
      <c r="S6" s="113"/>
      <c r="T6" s="113"/>
      <c r="U6" s="113"/>
      <c r="V6" s="113"/>
      <c r="W6" s="113"/>
      <c r="X6" s="113"/>
      <c r="Y6" s="113"/>
      <c r="Z6" s="113"/>
    </row>
    <row r="7" spans="1:26">
      <c r="A7" s="110">
        <v>2016</v>
      </c>
      <c r="B7" s="81" t="s">
        <v>47</v>
      </c>
      <c r="C7" s="116">
        <v>139.19999999999999</v>
      </c>
      <c r="D7" s="116">
        <v>116.7</v>
      </c>
      <c r="E7" s="116">
        <v>105.3</v>
      </c>
      <c r="F7" s="116">
        <v>15.6</v>
      </c>
      <c r="G7" s="116">
        <v>5</v>
      </c>
      <c r="H7" s="116">
        <v>47.1</v>
      </c>
      <c r="I7" s="116">
        <v>10.199999999999999</v>
      </c>
      <c r="K7" s="124"/>
      <c r="L7" s="17"/>
      <c r="M7" s="113"/>
      <c r="N7" s="113"/>
      <c r="P7" s="113"/>
      <c r="Q7" s="118"/>
      <c r="R7" s="113"/>
      <c r="S7" s="113"/>
      <c r="T7" s="113"/>
      <c r="U7" s="113"/>
      <c r="V7" s="113"/>
      <c r="W7" s="113"/>
      <c r="X7" s="113"/>
      <c r="Y7" s="113"/>
      <c r="Z7" s="113"/>
    </row>
    <row r="8" spans="1:26">
      <c r="A8" s="110">
        <v>2016</v>
      </c>
      <c r="B8" s="81" t="s">
        <v>313</v>
      </c>
      <c r="C8" s="116">
        <v>1001.3</v>
      </c>
      <c r="D8" s="116">
        <v>1073.5</v>
      </c>
      <c r="E8" s="116">
        <v>1229</v>
      </c>
      <c r="F8" s="116">
        <v>946.2</v>
      </c>
      <c r="G8" s="116">
        <v>552.70000000000005</v>
      </c>
      <c r="H8" s="116">
        <v>1075.0999999999999</v>
      </c>
      <c r="I8" s="116">
        <v>1088.8</v>
      </c>
      <c r="K8" s="124"/>
      <c r="L8" s="17"/>
      <c r="M8" s="113"/>
      <c r="N8" s="113"/>
      <c r="P8" s="113"/>
      <c r="Q8" s="118"/>
      <c r="R8" s="113"/>
      <c r="S8" s="113"/>
      <c r="T8" s="113"/>
      <c r="U8" s="113"/>
      <c r="V8" s="113"/>
      <c r="W8" s="113"/>
      <c r="X8" s="113"/>
      <c r="Y8" s="113"/>
      <c r="Z8" s="113"/>
    </row>
    <row r="9" spans="1:26">
      <c r="A9" s="110">
        <v>2016</v>
      </c>
      <c r="B9" s="81" t="s">
        <v>48</v>
      </c>
      <c r="C9" s="116">
        <v>15.1</v>
      </c>
      <c r="D9" s="116">
        <v>15.4</v>
      </c>
      <c r="E9" s="116">
        <v>18.600000000000001</v>
      </c>
      <c r="F9" s="116">
        <v>15.8</v>
      </c>
      <c r="G9" s="116">
        <v>4.2</v>
      </c>
      <c r="H9" s="116">
        <v>9.1</v>
      </c>
      <c r="I9" s="116">
        <v>5.8</v>
      </c>
      <c r="K9" s="124"/>
      <c r="L9" s="17"/>
      <c r="M9" s="113"/>
      <c r="N9" s="113"/>
      <c r="P9" s="113"/>
      <c r="Q9" s="117"/>
      <c r="R9" s="113"/>
      <c r="S9" s="113"/>
      <c r="T9" s="113"/>
      <c r="U9" s="113"/>
      <c r="V9" s="113"/>
      <c r="W9" s="113"/>
      <c r="X9" s="113"/>
      <c r="Y9" s="113"/>
      <c r="Z9" s="113"/>
    </row>
    <row r="10" spans="1:26">
      <c r="A10" s="110">
        <v>2016</v>
      </c>
      <c r="B10" s="81" t="s">
        <v>49</v>
      </c>
      <c r="C10" s="116">
        <v>71.400000000000006</v>
      </c>
      <c r="D10" s="116">
        <v>54.1</v>
      </c>
      <c r="E10" s="116">
        <v>56.7</v>
      </c>
      <c r="F10" s="116">
        <v>37.6</v>
      </c>
      <c r="G10" s="116">
        <v>13.8</v>
      </c>
      <c r="H10" s="116">
        <v>22.8</v>
      </c>
      <c r="I10" s="116">
        <v>16.3</v>
      </c>
      <c r="K10" s="124"/>
      <c r="L10" s="17"/>
      <c r="M10" s="113"/>
      <c r="N10" s="113"/>
      <c r="P10" s="113"/>
      <c r="Q10" s="117"/>
      <c r="R10" s="113"/>
      <c r="S10" s="113"/>
      <c r="T10" s="113"/>
      <c r="U10" s="113"/>
      <c r="V10" s="113"/>
      <c r="W10" s="113"/>
      <c r="X10" s="113"/>
      <c r="Y10" s="113"/>
      <c r="Z10" s="113"/>
    </row>
    <row r="11" spans="1:26">
      <c r="A11" s="110">
        <v>2016</v>
      </c>
      <c r="B11" s="81" t="s">
        <v>50</v>
      </c>
      <c r="C11" s="116">
        <v>17.600000000000001</v>
      </c>
      <c r="D11" s="116">
        <v>15.5</v>
      </c>
      <c r="E11" s="116">
        <v>20.6</v>
      </c>
      <c r="F11" s="116">
        <v>17.2</v>
      </c>
      <c r="G11" s="116">
        <v>3.5</v>
      </c>
      <c r="H11" s="116">
        <v>8.6</v>
      </c>
      <c r="I11" s="116">
        <v>3.1</v>
      </c>
      <c r="K11" s="124"/>
      <c r="L11" s="17"/>
      <c r="M11" s="113"/>
      <c r="N11" s="113"/>
      <c r="P11" s="113"/>
      <c r="Q11" s="118"/>
      <c r="R11" s="113"/>
      <c r="S11" s="113"/>
      <c r="T11" s="113"/>
      <c r="U11" s="113"/>
      <c r="V11" s="113"/>
      <c r="W11" s="113"/>
      <c r="X11" s="113"/>
      <c r="Y11" s="113"/>
      <c r="Z11" s="113"/>
    </row>
    <row r="12" spans="1:26">
      <c r="A12" s="110">
        <v>2016</v>
      </c>
      <c r="B12" s="81" t="s">
        <v>51</v>
      </c>
      <c r="C12" s="116">
        <v>56.6</v>
      </c>
      <c r="D12" s="116">
        <v>45.5</v>
      </c>
      <c r="E12" s="116">
        <v>49.2</v>
      </c>
      <c r="F12" s="116">
        <v>46.5</v>
      </c>
      <c r="G12" s="116">
        <v>14.5</v>
      </c>
      <c r="H12" s="116">
        <v>28.5</v>
      </c>
      <c r="I12" s="116">
        <v>16.399999999999999</v>
      </c>
      <c r="K12" s="124"/>
      <c r="L12" s="17"/>
      <c r="M12" s="113"/>
      <c r="N12" s="113"/>
      <c r="P12" s="113"/>
      <c r="Q12" s="117"/>
      <c r="R12" s="113"/>
      <c r="S12" s="113"/>
      <c r="T12" s="113"/>
      <c r="U12" s="113"/>
      <c r="V12" s="113"/>
      <c r="W12" s="113"/>
      <c r="X12" s="113"/>
      <c r="Y12" s="113"/>
      <c r="Z12" s="113"/>
    </row>
    <row r="13" spans="1:26">
      <c r="A13" s="110">
        <v>2016</v>
      </c>
      <c r="B13" s="81" t="s">
        <v>52</v>
      </c>
      <c r="C13" s="116">
        <v>80.400000000000006</v>
      </c>
      <c r="D13" s="116">
        <v>74.599999999999994</v>
      </c>
      <c r="E13" s="116">
        <v>76.099999999999994</v>
      </c>
      <c r="F13" s="116">
        <v>72.099999999999994</v>
      </c>
      <c r="G13" s="116">
        <v>48.4</v>
      </c>
      <c r="H13" s="116">
        <v>64.7</v>
      </c>
      <c r="I13" s="116">
        <v>43.9</v>
      </c>
      <c r="K13" s="124"/>
      <c r="L13" s="17"/>
      <c r="M13" s="113"/>
      <c r="N13" s="113"/>
      <c r="P13" s="113"/>
      <c r="Q13" s="117"/>
      <c r="R13" s="113"/>
      <c r="S13" s="113"/>
      <c r="T13" s="113"/>
      <c r="U13" s="113"/>
      <c r="V13" s="113"/>
      <c r="W13" s="113"/>
      <c r="X13" s="113"/>
      <c r="Y13" s="113"/>
      <c r="Z13" s="113"/>
    </row>
    <row r="14" spans="1:26">
      <c r="A14" s="110">
        <v>2016</v>
      </c>
      <c r="B14" s="81" t="s">
        <v>53</v>
      </c>
      <c r="C14" s="116">
        <v>86.1</v>
      </c>
      <c r="D14" s="116">
        <v>65.099999999999994</v>
      </c>
      <c r="E14" s="116">
        <v>71.8</v>
      </c>
      <c r="F14" s="116">
        <v>59</v>
      </c>
      <c r="G14" s="116">
        <v>23.1</v>
      </c>
      <c r="H14" s="116">
        <v>39.200000000000003</v>
      </c>
      <c r="I14" s="116">
        <v>35.9</v>
      </c>
      <c r="K14" s="124"/>
      <c r="L14" s="17"/>
      <c r="M14" s="113"/>
      <c r="N14" s="113"/>
      <c r="P14" s="113"/>
      <c r="Q14" s="117"/>
      <c r="R14" s="113"/>
      <c r="S14" s="113"/>
      <c r="T14" s="113"/>
      <c r="U14" s="113"/>
      <c r="V14" s="113"/>
      <c r="W14" s="113"/>
      <c r="X14" s="113"/>
      <c r="Y14" s="113"/>
      <c r="Z14" s="113"/>
    </row>
    <row r="15" spans="1:26">
      <c r="A15" s="110">
        <v>2016</v>
      </c>
      <c r="B15" s="81" t="s">
        <v>314</v>
      </c>
      <c r="C15" s="116">
        <v>50.4</v>
      </c>
      <c r="D15" s="116">
        <v>53.3</v>
      </c>
      <c r="E15" s="116">
        <v>55.2</v>
      </c>
      <c r="F15" s="116">
        <v>36.799999999999997</v>
      </c>
      <c r="G15" s="116">
        <v>12.5</v>
      </c>
      <c r="H15" s="116">
        <v>31.2</v>
      </c>
      <c r="I15" s="116">
        <v>20.100000000000001</v>
      </c>
      <c r="K15" s="124"/>
      <c r="L15" s="17"/>
      <c r="M15" s="113"/>
      <c r="N15" s="113"/>
      <c r="P15" s="113"/>
      <c r="Q15" s="117"/>
      <c r="R15" s="113"/>
      <c r="S15" s="113"/>
      <c r="T15" s="113"/>
      <c r="U15" s="113"/>
      <c r="V15" s="113"/>
      <c r="W15" s="113"/>
      <c r="X15" s="113"/>
      <c r="Y15" s="113"/>
      <c r="Z15" s="113"/>
    </row>
    <row r="16" spans="1:26">
      <c r="C16" s="116"/>
      <c r="D16" s="116"/>
      <c r="E16" s="116"/>
      <c r="F16" s="116"/>
      <c r="G16" s="116"/>
      <c r="H16" s="116"/>
      <c r="I16" s="116"/>
      <c r="K16" s="124"/>
      <c r="L16" s="17"/>
      <c r="M16" s="113"/>
      <c r="N16" s="113"/>
      <c r="P16" s="113"/>
      <c r="Q16" s="117"/>
      <c r="R16" s="113"/>
      <c r="S16" s="113"/>
      <c r="T16" s="113"/>
      <c r="U16" s="113"/>
      <c r="V16" s="113"/>
      <c r="W16" s="113"/>
      <c r="X16" s="113"/>
      <c r="Y16" s="113"/>
      <c r="Z16" s="113"/>
    </row>
    <row r="17" spans="1:26">
      <c r="A17" s="110">
        <v>2017</v>
      </c>
      <c r="B17" s="124" t="s">
        <v>46</v>
      </c>
      <c r="C17" s="116">
        <v>105.8</v>
      </c>
      <c r="D17" s="116">
        <v>108.4</v>
      </c>
      <c r="E17" s="116">
        <v>122.5</v>
      </c>
      <c r="F17" s="116">
        <v>131.4</v>
      </c>
      <c r="G17" s="116">
        <v>77.900000000000006</v>
      </c>
      <c r="H17" s="116">
        <v>127.1</v>
      </c>
      <c r="I17" s="116">
        <v>149.69999999999999</v>
      </c>
      <c r="R17" s="113"/>
      <c r="S17" s="113"/>
      <c r="T17" s="113"/>
      <c r="U17" s="113"/>
      <c r="V17" s="113"/>
      <c r="W17" s="113"/>
      <c r="X17" s="113"/>
      <c r="Y17" s="113"/>
      <c r="Z17" s="113"/>
    </row>
    <row r="18" spans="1:26">
      <c r="A18" s="110">
        <v>2017</v>
      </c>
      <c r="B18" s="81" t="s">
        <v>47</v>
      </c>
      <c r="C18" s="116">
        <v>143.19999999999999</v>
      </c>
      <c r="D18" s="116">
        <v>121.3</v>
      </c>
      <c r="E18" s="116">
        <v>109.3</v>
      </c>
      <c r="F18" s="116">
        <v>25.7</v>
      </c>
      <c r="G18" s="116">
        <v>7.1</v>
      </c>
      <c r="H18" s="116">
        <v>55.2</v>
      </c>
      <c r="I18" s="116">
        <v>21.3</v>
      </c>
      <c r="R18" s="113"/>
      <c r="S18" s="113"/>
      <c r="T18" s="113"/>
      <c r="U18" s="113"/>
      <c r="V18" s="113"/>
      <c r="W18" s="113"/>
      <c r="X18" s="113"/>
      <c r="Y18" s="113"/>
      <c r="Z18" s="113"/>
    </row>
    <row r="19" spans="1:26">
      <c r="A19" s="110">
        <v>2017</v>
      </c>
      <c r="B19" s="81" t="s">
        <v>313</v>
      </c>
      <c r="C19" s="116">
        <v>1008.2</v>
      </c>
      <c r="D19" s="116">
        <v>1098.9000000000001</v>
      </c>
      <c r="E19" s="116">
        <v>1245.0999999999999</v>
      </c>
      <c r="F19" s="116">
        <v>951</v>
      </c>
      <c r="G19" s="116">
        <v>547.6</v>
      </c>
      <c r="H19" s="116">
        <v>1103.9000000000001</v>
      </c>
      <c r="I19" s="116">
        <v>1157.7</v>
      </c>
      <c r="R19" s="113"/>
      <c r="S19" s="113"/>
      <c r="T19" s="113"/>
      <c r="U19" s="113"/>
      <c r="V19" s="113"/>
      <c r="W19" s="113"/>
      <c r="X19" s="113"/>
      <c r="Y19" s="113"/>
      <c r="Z19" s="113"/>
    </row>
    <row r="20" spans="1:26">
      <c r="A20" s="110">
        <v>2017</v>
      </c>
      <c r="B20" s="81" t="s">
        <v>48</v>
      </c>
      <c r="C20" s="116">
        <v>15.6</v>
      </c>
      <c r="D20" s="116">
        <v>15.7</v>
      </c>
      <c r="E20" s="116">
        <v>19.899999999999999</v>
      </c>
      <c r="F20" s="116">
        <v>16.2</v>
      </c>
      <c r="G20" s="116">
        <v>4.2</v>
      </c>
      <c r="H20" s="116">
        <v>9.3000000000000007</v>
      </c>
      <c r="I20" s="116">
        <v>7.8</v>
      </c>
      <c r="R20" s="113"/>
      <c r="S20" s="113"/>
      <c r="T20" s="113"/>
      <c r="U20" s="113"/>
      <c r="V20" s="113"/>
      <c r="W20" s="113"/>
      <c r="X20" s="113"/>
      <c r="Y20" s="113"/>
      <c r="Z20" s="113"/>
    </row>
    <row r="21" spans="1:26">
      <c r="A21" s="110">
        <v>2017</v>
      </c>
      <c r="B21" s="81" t="s">
        <v>49</v>
      </c>
      <c r="C21" s="116">
        <v>73.2</v>
      </c>
      <c r="D21" s="116">
        <v>56.2</v>
      </c>
      <c r="E21" s="116">
        <v>57.6</v>
      </c>
      <c r="F21" s="116">
        <v>35.299999999999997</v>
      </c>
      <c r="G21" s="116">
        <v>15.2</v>
      </c>
      <c r="H21" s="116">
        <v>26.6</v>
      </c>
      <c r="I21" s="116">
        <v>18.600000000000001</v>
      </c>
      <c r="R21" s="113"/>
      <c r="S21" s="113"/>
      <c r="T21" s="113"/>
      <c r="U21" s="113"/>
      <c r="V21" s="113"/>
      <c r="W21" s="113"/>
      <c r="X21" s="113"/>
      <c r="Y21" s="113"/>
      <c r="Z21" s="113"/>
    </row>
    <row r="22" spans="1:26">
      <c r="A22" s="110">
        <v>2017</v>
      </c>
      <c r="B22" s="81" t="s">
        <v>50</v>
      </c>
      <c r="C22" s="116">
        <v>17.7</v>
      </c>
      <c r="D22" s="116">
        <v>15.7</v>
      </c>
      <c r="E22" s="116">
        <v>20.399999999999999</v>
      </c>
      <c r="F22" s="116">
        <v>16.899999999999999</v>
      </c>
      <c r="G22" s="116">
        <v>3.2</v>
      </c>
      <c r="H22" s="116">
        <v>6.6</v>
      </c>
      <c r="I22" s="116">
        <v>3.9</v>
      </c>
      <c r="R22" s="113"/>
      <c r="S22" s="113"/>
      <c r="T22" s="113"/>
      <c r="U22" s="113"/>
      <c r="V22" s="113"/>
      <c r="W22" s="113"/>
      <c r="X22" s="113"/>
      <c r="Y22" s="113"/>
      <c r="Z22" s="113"/>
    </row>
    <row r="23" spans="1:26">
      <c r="A23" s="110">
        <v>2017</v>
      </c>
      <c r="B23" s="81" t="s">
        <v>51</v>
      </c>
      <c r="C23" s="116">
        <v>57.2</v>
      </c>
      <c r="D23" s="116">
        <v>45.1</v>
      </c>
      <c r="E23" s="116">
        <v>49.9</v>
      </c>
      <c r="F23" s="116">
        <v>47.1</v>
      </c>
      <c r="G23" s="116">
        <v>14.5</v>
      </c>
      <c r="H23" s="116">
        <v>28.8</v>
      </c>
      <c r="I23" s="116">
        <v>17.3</v>
      </c>
      <c r="R23" s="113"/>
      <c r="S23" s="113"/>
      <c r="T23" s="113"/>
      <c r="U23" s="113"/>
      <c r="V23" s="113"/>
      <c r="W23" s="113"/>
      <c r="X23" s="113"/>
      <c r="Y23" s="113"/>
      <c r="Z23" s="113"/>
    </row>
    <row r="24" spans="1:26">
      <c r="A24" s="110">
        <v>2017</v>
      </c>
      <c r="B24" s="81" t="s">
        <v>52</v>
      </c>
      <c r="C24" s="116">
        <v>81.900000000000006</v>
      </c>
      <c r="D24" s="116">
        <v>75.7</v>
      </c>
      <c r="E24" s="116">
        <v>76.7</v>
      </c>
      <c r="F24" s="116">
        <v>72</v>
      </c>
      <c r="G24" s="116">
        <v>46.8</v>
      </c>
      <c r="H24" s="116">
        <v>63.5</v>
      </c>
      <c r="I24" s="116">
        <v>43.3</v>
      </c>
      <c r="R24" s="113"/>
      <c r="S24" s="113"/>
      <c r="T24" s="113"/>
      <c r="U24" s="113"/>
      <c r="V24" s="113"/>
      <c r="W24" s="113"/>
      <c r="X24" s="113"/>
      <c r="Y24" s="113"/>
      <c r="Z24" s="113"/>
    </row>
    <row r="25" spans="1:26">
      <c r="A25" s="110">
        <v>2017</v>
      </c>
      <c r="B25" s="81" t="s">
        <v>53</v>
      </c>
      <c r="C25" s="116">
        <v>89.9</v>
      </c>
      <c r="D25" s="116">
        <v>68.5</v>
      </c>
      <c r="E25" s="116">
        <v>72.5</v>
      </c>
      <c r="F25" s="116">
        <v>64</v>
      </c>
      <c r="G25" s="116">
        <v>22</v>
      </c>
      <c r="H25" s="116">
        <v>40.799999999999997</v>
      </c>
      <c r="I25" s="116">
        <v>41</v>
      </c>
      <c r="R25" s="113"/>
      <c r="S25" s="113"/>
      <c r="T25" s="113"/>
      <c r="U25" s="113"/>
      <c r="V25" s="113"/>
      <c r="W25" s="113"/>
      <c r="X25" s="113"/>
      <c r="Y25" s="113"/>
      <c r="Z25" s="113"/>
    </row>
    <row r="26" spans="1:26">
      <c r="A26" s="110">
        <v>2017</v>
      </c>
      <c r="B26" s="81" t="s">
        <v>314</v>
      </c>
      <c r="C26" s="116">
        <v>52.8</v>
      </c>
      <c r="D26" s="116">
        <v>56.8</v>
      </c>
      <c r="E26" s="116">
        <v>58.8</v>
      </c>
      <c r="F26" s="116">
        <v>39.700000000000003</v>
      </c>
      <c r="G26" s="116">
        <v>12.7</v>
      </c>
      <c r="H26" s="116">
        <v>27.9</v>
      </c>
      <c r="I26" s="116">
        <v>18.600000000000001</v>
      </c>
      <c r="R26" s="113"/>
      <c r="S26" s="113"/>
      <c r="T26" s="113"/>
      <c r="U26" s="113"/>
      <c r="V26" s="113"/>
      <c r="W26" s="113"/>
      <c r="X26" s="113"/>
      <c r="Y26" s="113"/>
      <c r="Z26" s="113"/>
    </row>
    <row r="27" spans="1:26">
      <c r="C27" s="116"/>
      <c r="D27" s="116"/>
      <c r="E27" s="116"/>
      <c r="F27" s="116"/>
      <c r="G27" s="116"/>
      <c r="H27" s="116"/>
      <c r="I27" s="116"/>
      <c r="R27" s="113"/>
      <c r="S27" s="113"/>
      <c r="T27" s="113"/>
      <c r="U27" s="113"/>
      <c r="V27" s="113"/>
      <c r="W27" s="113"/>
      <c r="X27" s="113"/>
      <c r="Y27" s="113"/>
      <c r="Z27" s="113"/>
    </row>
    <row r="28" spans="1:26" ht="12.75" customHeight="1">
      <c r="A28" s="110">
        <v>2018</v>
      </c>
      <c r="B28" s="124" t="s">
        <v>46</v>
      </c>
      <c r="C28" s="116">
        <v>105.6</v>
      </c>
      <c r="D28" s="116">
        <v>107.9</v>
      </c>
      <c r="E28" s="116">
        <v>122.2</v>
      </c>
      <c r="F28" s="116">
        <v>130.30000000000001</v>
      </c>
      <c r="G28" s="116">
        <v>77.2</v>
      </c>
      <c r="H28" s="116">
        <v>133.19999999999999</v>
      </c>
      <c r="I28" s="116">
        <v>156</v>
      </c>
      <c r="R28" s="113"/>
      <c r="S28" s="113"/>
      <c r="T28" s="113"/>
      <c r="U28" s="113"/>
      <c r="V28" s="113"/>
      <c r="W28" s="113"/>
      <c r="X28" s="113"/>
      <c r="Y28" s="113"/>
      <c r="Z28" s="113"/>
    </row>
    <row r="29" spans="1:26">
      <c r="A29" s="110">
        <v>2018</v>
      </c>
      <c r="B29" s="81" t="s">
        <v>47</v>
      </c>
      <c r="C29" s="116">
        <v>143.69999999999999</v>
      </c>
      <c r="D29" s="116">
        <v>124</v>
      </c>
      <c r="E29" s="116">
        <v>113.3</v>
      </c>
      <c r="F29" s="116">
        <v>24.9</v>
      </c>
      <c r="G29" s="116">
        <v>8.6</v>
      </c>
      <c r="H29" s="116">
        <v>61.8</v>
      </c>
      <c r="I29" s="116">
        <v>21.2</v>
      </c>
      <c r="R29" s="113"/>
      <c r="S29" s="113"/>
      <c r="T29" s="113"/>
      <c r="U29" s="113"/>
      <c r="V29" s="113"/>
      <c r="W29" s="113"/>
      <c r="X29" s="113"/>
      <c r="Y29" s="113"/>
      <c r="Z29" s="113"/>
    </row>
    <row r="30" spans="1:26">
      <c r="A30" s="110">
        <v>2018</v>
      </c>
      <c r="B30" s="81" t="s">
        <v>313</v>
      </c>
      <c r="C30" s="116">
        <v>1034.3</v>
      </c>
      <c r="D30" s="116">
        <v>1123.4000000000001</v>
      </c>
      <c r="E30" s="116">
        <v>1271.4000000000001</v>
      </c>
      <c r="F30" s="116">
        <v>977.1</v>
      </c>
      <c r="G30" s="116">
        <v>559.4</v>
      </c>
      <c r="H30" s="116">
        <v>1135.3</v>
      </c>
      <c r="I30" s="116">
        <v>1184.0999999999999</v>
      </c>
      <c r="R30" s="113"/>
      <c r="S30" s="113"/>
      <c r="T30" s="113"/>
      <c r="U30" s="113"/>
      <c r="V30" s="113"/>
      <c r="W30" s="113"/>
      <c r="X30" s="113"/>
      <c r="Y30" s="113"/>
      <c r="Z30" s="113"/>
    </row>
    <row r="31" spans="1:26">
      <c r="A31" s="110">
        <v>2018</v>
      </c>
      <c r="B31" s="81" t="s">
        <v>48</v>
      </c>
      <c r="C31" s="116">
        <v>16</v>
      </c>
      <c r="D31" s="116">
        <v>16.5</v>
      </c>
      <c r="E31" s="116">
        <v>20.8</v>
      </c>
      <c r="F31" s="116">
        <v>15.8</v>
      </c>
      <c r="G31" s="116">
        <v>5.3</v>
      </c>
      <c r="H31" s="116">
        <v>10.9</v>
      </c>
      <c r="I31" s="116">
        <v>6.6</v>
      </c>
      <c r="R31" s="113"/>
      <c r="S31" s="113"/>
      <c r="T31" s="113"/>
      <c r="U31" s="113"/>
      <c r="V31" s="113"/>
      <c r="W31" s="113"/>
      <c r="X31" s="113"/>
      <c r="Y31" s="113"/>
      <c r="Z31" s="113"/>
    </row>
    <row r="32" spans="1:26">
      <c r="A32" s="110">
        <v>2018</v>
      </c>
      <c r="B32" s="81" t="s">
        <v>49</v>
      </c>
      <c r="C32" s="116">
        <v>74.900000000000006</v>
      </c>
      <c r="D32" s="116">
        <v>56.1</v>
      </c>
      <c r="E32" s="116">
        <v>59.6</v>
      </c>
      <c r="F32" s="116">
        <v>37.200000000000003</v>
      </c>
      <c r="G32" s="116">
        <v>13.9</v>
      </c>
      <c r="H32" s="116">
        <v>28</v>
      </c>
      <c r="I32" s="116">
        <v>18.600000000000001</v>
      </c>
      <c r="R32" s="113"/>
      <c r="S32" s="113"/>
      <c r="T32" s="113"/>
      <c r="U32" s="113"/>
      <c r="V32" s="113"/>
      <c r="W32" s="113"/>
      <c r="X32" s="113"/>
      <c r="Y32" s="113"/>
      <c r="Z32" s="113"/>
    </row>
    <row r="33" spans="1:26">
      <c r="A33" s="110">
        <v>2018</v>
      </c>
      <c r="B33" s="81" t="s">
        <v>50</v>
      </c>
      <c r="C33" s="116">
        <v>18.2</v>
      </c>
      <c r="D33" s="116">
        <v>16.3</v>
      </c>
      <c r="E33" s="116">
        <v>20.9</v>
      </c>
      <c r="F33" s="116">
        <v>17.3</v>
      </c>
      <c r="G33" s="116">
        <v>3.1</v>
      </c>
      <c r="H33" s="116">
        <v>8.5</v>
      </c>
      <c r="I33" s="116">
        <v>6.6</v>
      </c>
      <c r="R33" s="113"/>
      <c r="S33" s="113"/>
      <c r="T33" s="113"/>
      <c r="U33" s="113"/>
      <c r="V33" s="113"/>
      <c r="W33" s="113"/>
      <c r="X33" s="113"/>
      <c r="Y33" s="113"/>
      <c r="Z33" s="113"/>
    </row>
    <row r="34" spans="1:26">
      <c r="A34" s="110">
        <v>2018</v>
      </c>
      <c r="B34" s="81" t="s">
        <v>51</v>
      </c>
      <c r="C34" s="116">
        <v>57.7</v>
      </c>
      <c r="D34" s="116">
        <v>46.1</v>
      </c>
      <c r="E34" s="116">
        <v>50.6</v>
      </c>
      <c r="F34" s="116">
        <v>46.2</v>
      </c>
      <c r="G34" s="116">
        <v>14.3</v>
      </c>
      <c r="H34" s="116">
        <v>28</v>
      </c>
      <c r="I34" s="116">
        <v>20.9</v>
      </c>
      <c r="R34" s="113"/>
      <c r="S34" s="113"/>
      <c r="T34" s="113"/>
      <c r="U34" s="113"/>
      <c r="V34" s="113"/>
      <c r="W34" s="113"/>
      <c r="X34" s="113"/>
      <c r="Y34" s="113"/>
      <c r="Z34" s="113"/>
    </row>
    <row r="35" spans="1:26">
      <c r="A35" s="110">
        <v>2018</v>
      </c>
      <c r="B35" s="81" t="s">
        <v>52</v>
      </c>
      <c r="C35" s="116">
        <v>81.7</v>
      </c>
      <c r="D35" s="116">
        <v>75.400000000000006</v>
      </c>
      <c r="E35" s="116">
        <v>76.599999999999994</v>
      </c>
      <c r="F35" s="116">
        <v>74.3</v>
      </c>
      <c r="G35" s="116">
        <v>47.3</v>
      </c>
      <c r="H35" s="116">
        <v>66.5</v>
      </c>
      <c r="I35" s="116">
        <v>45.8</v>
      </c>
      <c r="R35" s="113"/>
      <c r="S35" s="113"/>
      <c r="T35" s="113"/>
      <c r="U35" s="113"/>
      <c r="V35" s="113"/>
      <c r="W35" s="113"/>
      <c r="X35" s="113"/>
      <c r="Y35" s="113"/>
      <c r="Z35" s="113"/>
    </row>
    <row r="36" spans="1:26">
      <c r="A36" s="110">
        <v>2018</v>
      </c>
      <c r="B36" s="81" t="s">
        <v>53</v>
      </c>
      <c r="C36" s="116">
        <v>94.9</v>
      </c>
      <c r="D36" s="116">
        <v>74.900000000000006</v>
      </c>
      <c r="E36" s="116">
        <v>78.3</v>
      </c>
      <c r="F36" s="116">
        <v>68.2</v>
      </c>
      <c r="G36" s="116">
        <v>23.9</v>
      </c>
      <c r="H36" s="116">
        <v>45.1</v>
      </c>
      <c r="I36" s="116">
        <v>50.1</v>
      </c>
      <c r="R36" s="113"/>
      <c r="S36" s="113"/>
      <c r="T36" s="113"/>
      <c r="U36" s="113"/>
      <c r="V36" s="113"/>
      <c r="W36" s="113"/>
      <c r="X36" s="113"/>
      <c r="Y36" s="113"/>
      <c r="Z36" s="113"/>
    </row>
    <row r="37" spans="1:26">
      <c r="A37" s="110">
        <v>2018</v>
      </c>
      <c r="B37" s="81" t="s">
        <v>314</v>
      </c>
      <c r="C37" s="116">
        <v>57.5</v>
      </c>
      <c r="D37" s="116">
        <v>61.8</v>
      </c>
      <c r="E37" s="116">
        <v>63</v>
      </c>
      <c r="F37" s="116">
        <v>43.1</v>
      </c>
      <c r="G37" s="116">
        <v>14.4</v>
      </c>
      <c r="H37" s="116">
        <v>32.799999999999997</v>
      </c>
      <c r="I37" s="116">
        <v>19.399999999999999</v>
      </c>
      <c r="R37" s="113"/>
      <c r="S37" s="113"/>
      <c r="T37" s="113"/>
      <c r="U37" s="113"/>
      <c r="V37" s="113"/>
      <c r="W37" s="113"/>
      <c r="X37" s="113"/>
      <c r="Y37" s="113"/>
      <c r="Z37" s="113"/>
    </row>
    <row r="38" spans="1:26">
      <c r="C38" s="116"/>
      <c r="D38" s="116"/>
      <c r="E38" s="116"/>
      <c r="F38" s="116"/>
      <c r="G38" s="116"/>
      <c r="H38" s="116"/>
      <c r="I38" s="116"/>
      <c r="R38" s="113"/>
      <c r="S38" s="113"/>
      <c r="T38" s="113"/>
      <c r="U38" s="113"/>
      <c r="V38" s="113"/>
      <c r="W38" s="113"/>
      <c r="X38" s="113"/>
      <c r="Y38" s="113"/>
      <c r="Z38" s="113"/>
    </row>
    <row r="39" spans="1:26">
      <c r="A39" s="110">
        <v>2019</v>
      </c>
      <c r="B39" s="124" t="s">
        <v>46</v>
      </c>
      <c r="C39" s="116">
        <v>106.8</v>
      </c>
      <c r="D39" s="116">
        <v>106.2</v>
      </c>
      <c r="E39" s="116">
        <v>121.5</v>
      </c>
      <c r="F39" s="116">
        <v>134.30000000000001</v>
      </c>
      <c r="G39" s="116">
        <v>77.8</v>
      </c>
      <c r="H39" s="116">
        <v>125.8</v>
      </c>
      <c r="I39" s="116">
        <v>156.69999999999999</v>
      </c>
      <c r="R39" s="113"/>
      <c r="S39" s="113"/>
      <c r="T39" s="113"/>
      <c r="U39" s="113"/>
      <c r="V39" s="113"/>
      <c r="W39" s="113"/>
      <c r="X39" s="113"/>
      <c r="Y39" s="113"/>
      <c r="Z39" s="113"/>
    </row>
    <row r="40" spans="1:26">
      <c r="A40" s="110">
        <v>2019</v>
      </c>
      <c r="B40" s="81" t="s">
        <v>47</v>
      </c>
      <c r="C40" s="116">
        <v>147.30000000000001</v>
      </c>
      <c r="D40" s="116">
        <v>126.4</v>
      </c>
      <c r="E40" s="116">
        <v>114.7</v>
      </c>
      <c r="F40" s="116">
        <v>26.4</v>
      </c>
      <c r="G40" s="116">
        <v>8.3000000000000007</v>
      </c>
      <c r="H40" s="116">
        <v>64.099999999999994</v>
      </c>
      <c r="I40" s="116">
        <v>19</v>
      </c>
      <c r="R40" s="113"/>
      <c r="S40" s="113"/>
      <c r="T40" s="113"/>
      <c r="U40" s="113"/>
      <c r="V40" s="113"/>
      <c r="W40" s="113"/>
      <c r="X40" s="113"/>
      <c r="Y40" s="113"/>
      <c r="Z40" s="113"/>
    </row>
    <row r="41" spans="1:26">
      <c r="A41" s="110">
        <v>2019</v>
      </c>
      <c r="B41" s="81" t="s">
        <v>313</v>
      </c>
      <c r="C41" s="116">
        <v>1061.5999999999999</v>
      </c>
      <c r="D41" s="116">
        <v>1159.7</v>
      </c>
      <c r="E41" s="116">
        <v>1314.1</v>
      </c>
      <c r="F41" s="116">
        <v>984.8</v>
      </c>
      <c r="G41" s="116">
        <v>567.29999999999995</v>
      </c>
      <c r="H41" s="116">
        <v>1151.3</v>
      </c>
      <c r="I41" s="116">
        <v>1168.8</v>
      </c>
      <c r="R41" s="113"/>
      <c r="S41" s="113"/>
      <c r="T41" s="113"/>
      <c r="U41" s="113"/>
      <c r="V41" s="113"/>
      <c r="W41" s="113"/>
      <c r="X41" s="113"/>
      <c r="Y41" s="113"/>
      <c r="Z41" s="113"/>
    </row>
    <row r="42" spans="1:26">
      <c r="A42" s="110">
        <v>2019</v>
      </c>
      <c r="B42" s="81" t="s">
        <v>48</v>
      </c>
      <c r="C42" s="116">
        <v>16.8</v>
      </c>
      <c r="D42" s="116">
        <v>15.7</v>
      </c>
      <c r="E42" s="116">
        <v>20.9</v>
      </c>
      <c r="F42" s="116">
        <v>16.7</v>
      </c>
      <c r="G42" s="116">
        <v>5</v>
      </c>
      <c r="H42" s="116">
        <v>10</v>
      </c>
      <c r="I42" s="116">
        <v>6.2</v>
      </c>
      <c r="R42" s="113"/>
      <c r="S42" s="113"/>
      <c r="T42" s="113"/>
      <c r="U42" s="113"/>
      <c r="V42" s="113"/>
      <c r="W42" s="113"/>
      <c r="X42" s="113"/>
      <c r="Y42" s="113"/>
      <c r="Z42" s="113"/>
    </row>
    <row r="43" spans="1:26">
      <c r="A43" s="110">
        <v>2019</v>
      </c>
      <c r="B43" s="81" t="s">
        <v>49</v>
      </c>
      <c r="C43" s="116">
        <v>77.599999999999994</v>
      </c>
      <c r="D43" s="116">
        <v>57.1</v>
      </c>
      <c r="E43" s="116">
        <v>61</v>
      </c>
      <c r="F43" s="116">
        <v>39</v>
      </c>
      <c r="G43" s="116">
        <v>15.5</v>
      </c>
      <c r="H43" s="116">
        <v>31.1</v>
      </c>
      <c r="I43" s="116">
        <v>21.7</v>
      </c>
      <c r="R43" s="113"/>
      <c r="S43" s="113"/>
      <c r="T43" s="113"/>
      <c r="U43" s="113"/>
      <c r="V43" s="113"/>
      <c r="W43" s="113"/>
      <c r="X43" s="113"/>
      <c r="Y43" s="113"/>
      <c r="Z43" s="113"/>
    </row>
    <row r="44" spans="1:26">
      <c r="A44" s="110">
        <v>2019</v>
      </c>
      <c r="B44" s="81" t="s">
        <v>50</v>
      </c>
      <c r="C44" s="116">
        <v>18.899999999999999</v>
      </c>
      <c r="D44" s="116">
        <v>16.600000000000001</v>
      </c>
      <c r="E44" s="116">
        <v>21.5</v>
      </c>
      <c r="F44" s="116">
        <v>17</v>
      </c>
      <c r="G44" s="116">
        <v>3.4</v>
      </c>
      <c r="H44" s="116">
        <v>7.8</v>
      </c>
      <c r="I44" s="116">
        <v>7.2</v>
      </c>
      <c r="R44" s="113"/>
      <c r="S44" s="113"/>
      <c r="T44" s="113"/>
      <c r="U44" s="113"/>
      <c r="V44" s="113"/>
      <c r="W44" s="113"/>
      <c r="X44" s="113"/>
      <c r="Y44" s="113"/>
      <c r="Z44" s="113"/>
    </row>
    <row r="45" spans="1:26">
      <c r="A45" s="110">
        <v>2019</v>
      </c>
      <c r="B45" s="81" t="s">
        <v>51</v>
      </c>
      <c r="C45" s="116">
        <v>58.2</v>
      </c>
      <c r="D45" s="116">
        <v>45.7</v>
      </c>
      <c r="E45" s="116">
        <v>48.8</v>
      </c>
      <c r="F45" s="116">
        <v>48.9</v>
      </c>
      <c r="G45" s="116">
        <v>14.5</v>
      </c>
      <c r="H45" s="116">
        <v>26.3</v>
      </c>
      <c r="I45" s="116">
        <v>24.4</v>
      </c>
      <c r="R45" s="113"/>
      <c r="S45" s="113"/>
      <c r="T45" s="113"/>
      <c r="U45" s="113"/>
      <c r="V45" s="113"/>
      <c r="W45" s="113"/>
      <c r="X45" s="113"/>
      <c r="Y45" s="113"/>
      <c r="Z45" s="113"/>
    </row>
    <row r="46" spans="1:26">
      <c r="A46" s="110">
        <v>2019</v>
      </c>
      <c r="B46" s="81" t="s">
        <v>52</v>
      </c>
      <c r="C46" s="116">
        <v>82.2</v>
      </c>
      <c r="D46" s="116">
        <v>75.7</v>
      </c>
      <c r="E46" s="116">
        <v>75.8</v>
      </c>
      <c r="F46" s="116">
        <v>70.900000000000006</v>
      </c>
      <c r="G46" s="116">
        <v>50.1</v>
      </c>
      <c r="H46" s="116">
        <v>65</v>
      </c>
      <c r="I46" s="116">
        <v>44.1</v>
      </c>
      <c r="R46" s="113"/>
      <c r="S46" s="113"/>
      <c r="T46" s="113"/>
      <c r="U46" s="113"/>
      <c r="V46" s="113"/>
      <c r="W46" s="113"/>
      <c r="X46" s="113"/>
      <c r="Y46" s="113"/>
      <c r="Z46" s="113"/>
    </row>
    <row r="47" spans="1:26">
      <c r="A47" s="110">
        <v>2019</v>
      </c>
      <c r="B47" s="81" t="s">
        <v>53</v>
      </c>
      <c r="C47" s="116">
        <v>102.1</v>
      </c>
      <c r="D47" s="116">
        <v>78</v>
      </c>
      <c r="E47" s="116">
        <v>87.8</v>
      </c>
      <c r="F47" s="116">
        <v>72</v>
      </c>
      <c r="G47" s="116">
        <v>26.4</v>
      </c>
      <c r="H47" s="116">
        <v>49.9</v>
      </c>
      <c r="I47" s="116">
        <v>42.2</v>
      </c>
      <c r="R47" s="113"/>
      <c r="S47" s="113"/>
      <c r="T47" s="113"/>
      <c r="U47" s="113"/>
      <c r="V47" s="113"/>
      <c r="W47" s="113"/>
      <c r="X47" s="113"/>
      <c r="Y47" s="113"/>
      <c r="Z47" s="113"/>
    </row>
    <row r="48" spans="1:26">
      <c r="A48" s="110">
        <v>2019</v>
      </c>
      <c r="B48" s="81" t="s">
        <v>314</v>
      </c>
      <c r="C48" s="116">
        <v>62.4</v>
      </c>
      <c r="D48" s="116">
        <v>65.2</v>
      </c>
      <c r="E48" s="116">
        <v>66.8</v>
      </c>
      <c r="F48" s="116">
        <v>45.5</v>
      </c>
      <c r="G48" s="116">
        <v>16.5</v>
      </c>
      <c r="H48" s="116">
        <v>36.9</v>
      </c>
      <c r="I48" s="116">
        <v>20.9</v>
      </c>
      <c r="R48" s="113"/>
      <c r="S48" s="113"/>
      <c r="T48" s="113"/>
      <c r="U48" s="113"/>
      <c r="V48" s="113"/>
      <c r="W48" s="113"/>
      <c r="X48" s="113"/>
      <c r="Y48" s="113"/>
      <c r="Z48" s="113"/>
    </row>
    <row r="49" spans="1:26">
      <c r="C49" s="116"/>
      <c r="D49" s="116"/>
      <c r="E49" s="116"/>
      <c r="F49" s="116"/>
      <c r="G49" s="116"/>
      <c r="H49" s="116"/>
      <c r="I49" s="116"/>
      <c r="R49" s="113"/>
      <c r="S49" s="113"/>
      <c r="T49" s="113"/>
      <c r="U49" s="113"/>
      <c r="V49" s="113"/>
      <c r="W49" s="113"/>
      <c r="X49" s="113"/>
      <c r="Y49" s="113"/>
      <c r="Z49" s="113"/>
    </row>
    <row r="50" spans="1:26">
      <c r="A50" s="110">
        <v>2020</v>
      </c>
      <c r="B50" s="124" t="s">
        <v>46</v>
      </c>
      <c r="C50" s="116">
        <v>104.6</v>
      </c>
      <c r="D50" s="116">
        <v>108.3</v>
      </c>
      <c r="E50" s="116">
        <v>125.1</v>
      </c>
      <c r="F50" s="116">
        <v>131.4</v>
      </c>
      <c r="G50" s="116">
        <v>77.900000000000006</v>
      </c>
      <c r="H50" s="116">
        <v>118.5</v>
      </c>
      <c r="I50" s="116">
        <v>159.9</v>
      </c>
      <c r="R50" s="113"/>
      <c r="S50" s="113"/>
      <c r="T50" s="113"/>
      <c r="U50" s="113"/>
      <c r="V50" s="113"/>
      <c r="W50" s="113"/>
      <c r="X50" s="113"/>
      <c r="Y50" s="113"/>
      <c r="Z50" s="113"/>
    </row>
    <row r="51" spans="1:26">
      <c r="A51" s="110">
        <v>2020</v>
      </c>
      <c r="B51" s="81" t="s">
        <v>47</v>
      </c>
      <c r="C51" s="116">
        <v>144.5</v>
      </c>
      <c r="D51" s="116">
        <v>127.1</v>
      </c>
      <c r="E51" s="116">
        <v>114.2</v>
      </c>
      <c r="F51" s="116">
        <v>25.4</v>
      </c>
      <c r="G51" s="116">
        <v>7.7</v>
      </c>
      <c r="H51" s="116">
        <v>62.2</v>
      </c>
      <c r="I51" s="116">
        <v>24.4</v>
      </c>
      <c r="R51" s="113"/>
      <c r="S51" s="113"/>
      <c r="T51" s="113"/>
      <c r="U51" s="113"/>
      <c r="V51" s="113"/>
      <c r="W51" s="113"/>
      <c r="X51" s="113"/>
      <c r="Y51" s="113"/>
      <c r="Z51" s="113"/>
    </row>
    <row r="52" spans="1:26">
      <c r="A52" s="110">
        <v>2020</v>
      </c>
      <c r="B52" s="81" t="s">
        <v>313</v>
      </c>
      <c r="C52" s="116">
        <v>1061.5999999999999</v>
      </c>
      <c r="D52" s="116">
        <v>1173.2</v>
      </c>
      <c r="E52" s="116">
        <v>1316.5</v>
      </c>
      <c r="F52" s="116">
        <v>1002.9</v>
      </c>
      <c r="G52" s="116">
        <v>563.9</v>
      </c>
      <c r="H52" s="116">
        <v>1156</v>
      </c>
      <c r="I52" s="116">
        <v>1187.7</v>
      </c>
      <c r="R52" s="113"/>
      <c r="S52" s="113"/>
      <c r="T52" s="113"/>
      <c r="U52" s="113"/>
      <c r="V52" s="113"/>
      <c r="W52" s="113"/>
      <c r="X52" s="113"/>
      <c r="Y52" s="113"/>
      <c r="Z52" s="113"/>
    </row>
    <row r="53" spans="1:26">
      <c r="A53" s="110">
        <v>2020</v>
      </c>
      <c r="B53" s="81" t="s">
        <v>48</v>
      </c>
      <c r="C53" s="116">
        <v>16.8</v>
      </c>
      <c r="D53" s="116">
        <v>16</v>
      </c>
      <c r="E53" s="116">
        <v>20.3</v>
      </c>
      <c r="F53" s="116">
        <v>16.5</v>
      </c>
      <c r="G53" s="116">
        <v>5.2</v>
      </c>
      <c r="H53" s="116">
        <v>9.6</v>
      </c>
      <c r="I53" s="116">
        <v>7.9</v>
      </c>
      <c r="R53" s="113"/>
      <c r="S53" s="113"/>
      <c r="T53" s="113"/>
      <c r="U53" s="113"/>
      <c r="V53" s="113"/>
      <c r="W53" s="113"/>
      <c r="X53" s="113"/>
      <c r="Y53" s="113"/>
      <c r="Z53" s="113"/>
    </row>
    <row r="54" spans="1:26">
      <c r="A54" s="110">
        <v>2020</v>
      </c>
      <c r="B54" s="81" t="s">
        <v>49</v>
      </c>
      <c r="C54" s="116">
        <v>86.6</v>
      </c>
      <c r="D54" s="116">
        <v>65.7</v>
      </c>
      <c r="E54" s="116">
        <v>66.5</v>
      </c>
      <c r="F54" s="116">
        <v>44.1</v>
      </c>
      <c r="G54" s="116">
        <v>20.100000000000001</v>
      </c>
      <c r="H54" s="116">
        <v>32.1</v>
      </c>
      <c r="I54" s="116">
        <v>22.7</v>
      </c>
      <c r="R54" s="113"/>
      <c r="S54" s="113"/>
      <c r="T54" s="113"/>
      <c r="U54" s="113"/>
      <c r="V54" s="113"/>
      <c r="W54" s="113"/>
      <c r="X54" s="113"/>
      <c r="Y54" s="113"/>
      <c r="Z54" s="113"/>
    </row>
    <row r="55" spans="1:26">
      <c r="A55" s="110">
        <v>2020</v>
      </c>
      <c r="B55" s="81" t="s">
        <v>50</v>
      </c>
      <c r="C55" s="116">
        <v>18</v>
      </c>
      <c r="D55" s="116">
        <v>16.7</v>
      </c>
      <c r="E55" s="116">
        <v>22.5</v>
      </c>
      <c r="F55" s="116">
        <v>17.8</v>
      </c>
      <c r="G55" s="116">
        <v>3.6</v>
      </c>
      <c r="H55" s="116">
        <v>7</v>
      </c>
      <c r="I55" s="116">
        <v>4</v>
      </c>
      <c r="R55" s="113"/>
      <c r="S55" s="113"/>
      <c r="T55" s="113"/>
      <c r="U55" s="113"/>
      <c r="V55" s="113"/>
      <c r="W55" s="113"/>
      <c r="X55" s="113"/>
      <c r="Y55" s="113"/>
      <c r="Z55" s="113"/>
    </row>
    <row r="56" spans="1:26">
      <c r="A56" s="110">
        <v>2020</v>
      </c>
      <c r="B56" s="81" t="s">
        <v>51</v>
      </c>
      <c r="C56" s="116">
        <v>57.1</v>
      </c>
      <c r="D56" s="116">
        <v>45.9</v>
      </c>
      <c r="E56" s="116">
        <v>50.4</v>
      </c>
      <c r="F56" s="116">
        <v>48</v>
      </c>
      <c r="G56" s="116">
        <v>14.8</v>
      </c>
      <c r="H56" s="116">
        <v>26.9</v>
      </c>
      <c r="I56" s="116">
        <v>19.5</v>
      </c>
      <c r="R56" s="113"/>
      <c r="S56" s="113"/>
      <c r="T56" s="113"/>
      <c r="U56" s="113"/>
      <c r="V56" s="113"/>
      <c r="W56" s="113"/>
      <c r="X56" s="113"/>
      <c r="Y56" s="113"/>
      <c r="Z56" s="113"/>
    </row>
    <row r="57" spans="1:26">
      <c r="A57" s="110">
        <v>2020</v>
      </c>
      <c r="B57" s="81" t="s">
        <v>52</v>
      </c>
      <c r="C57" s="116">
        <v>83.1</v>
      </c>
      <c r="D57" s="116">
        <v>79</v>
      </c>
      <c r="E57" s="116">
        <v>82</v>
      </c>
      <c r="F57" s="116">
        <v>69.3</v>
      </c>
      <c r="G57" s="116">
        <v>47.5</v>
      </c>
      <c r="H57" s="116">
        <v>69.5</v>
      </c>
      <c r="I57" s="116">
        <v>42.6</v>
      </c>
      <c r="R57" s="113"/>
      <c r="S57" s="113"/>
      <c r="T57" s="113"/>
      <c r="U57" s="113"/>
      <c r="V57" s="113"/>
      <c r="W57" s="113"/>
      <c r="X57" s="113"/>
      <c r="Y57" s="113"/>
      <c r="Z57" s="113"/>
    </row>
    <row r="58" spans="1:26">
      <c r="A58" s="110">
        <v>2020</v>
      </c>
      <c r="B58" s="81" t="s">
        <v>53</v>
      </c>
      <c r="C58" s="116">
        <v>102.3</v>
      </c>
      <c r="D58" s="116">
        <v>81.099999999999994</v>
      </c>
      <c r="E58" s="116">
        <v>86</v>
      </c>
      <c r="F58" s="116">
        <v>71.099999999999994</v>
      </c>
      <c r="G58" s="116">
        <v>27.3</v>
      </c>
      <c r="H58" s="116">
        <v>52.2</v>
      </c>
      <c r="I58" s="116">
        <v>45.1</v>
      </c>
      <c r="R58" s="113"/>
      <c r="S58" s="113"/>
      <c r="T58" s="113"/>
      <c r="U58" s="113"/>
      <c r="V58" s="113"/>
      <c r="W58" s="113"/>
      <c r="X58" s="113"/>
      <c r="Y58" s="113"/>
      <c r="Z58" s="113"/>
    </row>
    <row r="59" spans="1:26">
      <c r="A59" s="110">
        <v>2020</v>
      </c>
      <c r="B59" s="81" t="s">
        <v>314</v>
      </c>
      <c r="C59" s="116">
        <v>68.3</v>
      </c>
      <c r="D59" s="116">
        <v>68.400000000000006</v>
      </c>
      <c r="E59" s="116">
        <v>72.099999999999994</v>
      </c>
      <c r="F59" s="116">
        <v>45.8</v>
      </c>
      <c r="G59" s="116">
        <v>17.899999999999999</v>
      </c>
      <c r="H59" s="116">
        <v>41.3</v>
      </c>
      <c r="I59" s="116">
        <v>24.2</v>
      </c>
      <c r="R59" s="113"/>
      <c r="S59" s="113"/>
      <c r="T59" s="113"/>
      <c r="U59" s="113"/>
      <c r="V59" s="113"/>
      <c r="W59" s="113"/>
      <c r="X59" s="113"/>
      <c r="Y59" s="113"/>
      <c r="Z59" s="113"/>
    </row>
    <row r="60" spans="1:26">
      <c r="C60" s="116"/>
      <c r="D60" s="116"/>
      <c r="E60" s="116"/>
      <c r="F60" s="116"/>
      <c r="G60" s="116"/>
      <c r="H60" s="116"/>
      <c r="I60" s="116"/>
      <c r="R60" s="113"/>
      <c r="S60" s="113"/>
      <c r="T60" s="113"/>
      <c r="U60" s="113"/>
      <c r="V60" s="113"/>
      <c r="W60" s="113"/>
      <c r="X60" s="113"/>
      <c r="Y60" s="113"/>
      <c r="Z60" s="113"/>
    </row>
    <row r="61" spans="1:26">
      <c r="A61" s="110">
        <v>2021</v>
      </c>
      <c r="B61" s="124" t="s">
        <v>46</v>
      </c>
      <c r="C61" s="116">
        <v>107</v>
      </c>
      <c r="D61" s="116">
        <v>102.5</v>
      </c>
      <c r="E61" s="116">
        <v>122</v>
      </c>
      <c r="F61" s="116">
        <v>129.1</v>
      </c>
      <c r="G61" s="116">
        <v>74.5</v>
      </c>
      <c r="H61" s="116">
        <v>124</v>
      </c>
      <c r="I61" s="116">
        <v>149.19999999999999</v>
      </c>
      <c r="R61" s="113"/>
      <c r="S61" s="113"/>
      <c r="T61" s="113"/>
      <c r="U61" s="113"/>
      <c r="V61" s="113"/>
      <c r="W61" s="113"/>
      <c r="X61" s="113"/>
      <c r="Y61" s="113"/>
      <c r="Z61" s="113"/>
    </row>
    <row r="62" spans="1:26">
      <c r="A62" s="110">
        <v>2021</v>
      </c>
      <c r="B62" s="81" t="s">
        <v>47</v>
      </c>
      <c r="C62" s="116">
        <v>152.30000000000001</v>
      </c>
      <c r="D62" s="116">
        <v>130</v>
      </c>
      <c r="E62" s="116">
        <v>120.5</v>
      </c>
      <c r="F62" s="116">
        <v>28.5</v>
      </c>
      <c r="G62" s="116">
        <v>9.8000000000000007</v>
      </c>
      <c r="H62" s="116">
        <v>57.9</v>
      </c>
      <c r="I62" s="116">
        <v>20.9</v>
      </c>
      <c r="R62" s="113"/>
      <c r="S62" s="113"/>
      <c r="T62" s="113"/>
      <c r="U62" s="113"/>
      <c r="V62" s="113"/>
      <c r="W62" s="113"/>
      <c r="X62" s="113"/>
      <c r="Y62" s="113"/>
      <c r="Z62" s="113"/>
    </row>
    <row r="63" spans="1:26">
      <c r="A63" s="110">
        <v>2021</v>
      </c>
      <c r="B63" s="81" t="s">
        <v>313</v>
      </c>
      <c r="C63" s="116">
        <v>1124</v>
      </c>
      <c r="D63" s="116">
        <v>1234.5</v>
      </c>
      <c r="E63" s="116">
        <v>1362.1</v>
      </c>
      <c r="F63" s="116">
        <v>1024.2</v>
      </c>
      <c r="G63" s="116">
        <v>591.5</v>
      </c>
      <c r="H63" s="116">
        <v>1162.7</v>
      </c>
      <c r="I63" s="116">
        <v>1170.9000000000001</v>
      </c>
      <c r="R63" s="113"/>
      <c r="S63" s="113"/>
      <c r="T63" s="113"/>
      <c r="U63" s="113"/>
      <c r="V63" s="113"/>
      <c r="W63" s="113"/>
      <c r="X63" s="113"/>
      <c r="Y63" s="113"/>
      <c r="Z63" s="113"/>
    </row>
    <row r="64" spans="1:26">
      <c r="A64" s="110">
        <v>2021</v>
      </c>
      <c r="B64" s="81" t="s">
        <v>48</v>
      </c>
      <c r="C64" s="116">
        <v>17.399999999999999</v>
      </c>
      <c r="D64" s="116">
        <v>16.100000000000001</v>
      </c>
      <c r="E64" s="116">
        <v>20.399999999999999</v>
      </c>
      <c r="F64" s="116">
        <v>17</v>
      </c>
      <c r="G64" s="116">
        <v>5</v>
      </c>
      <c r="H64" s="116">
        <v>9.6999999999999993</v>
      </c>
      <c r="I64" s="116">
        <v>6.2</v>
      </c>
      <c r="R64" s="113"/>
      <c r="S64" s="113"/>
      <c r="T64" s="113"/>
      <c r="U64" s="113"/>
      <c r="V64" s="113"/>
      <c r="W64" s="113"/>
      <c r="X64" s="113"/>
      <c r="Y64" s="113"/>
      <c r="Z64" s="113"/>
    </row>
    <row r="65" spans="1:26">
      <c r="A65" s="110">
        <v>2021</v>
      </c>
      <c r="B65" s="81" t="s">
        <v>49</v>
      </c>
      <c r="C65" s="116">
        <v>87</v>
      </c>
      <c r="D65" s="116">
        <v>66.599999999999994</v>
      </c>
      <c r="E65" s="116">
        <v>62.9</v>
      </c>
      <c r="F65" s="116">
        <v>39.700000000000003</v>
      </c>
      <c r="G65" s="116">
        <v>18.8</v>
      </c>
      <c r="H65" s="116">
        <v>31.2</v>
      </c>
      <c r="I65" s="116">
        <v>14.3</v>
      </c>
      <c r="R65" s="113"/>
      <c r="S65" s="113"/>
      <c r="T65" s="113"/>
      <c r="U65" s="113"/>
      <c r="V65" s="113"/>
      <c r="W65" s="113"/>
      <c r="X65" s="113"/>
      <c r="Y65" s="113"/>
      <c r="Z65" s="113"/>
    </row>
    <row r="66" spans="1:26">
      <c r="A66" s="110">
        <v>2021</v>
      </c>
      <c r="B66" s="81" t="s">
        <v>50</v>
      </c>
      <c r="C66" s="116">
        <v>18.7</v>
      </c>
      <c r="D66" s="116">
        <v>16.399999999999999</v>
      </c>
      <c r="E66" s="116">
        <v>22.9</v>
      </c>
      <c r="F66" s="116">
        <v>17.899999999999999</v>
      </c>
      <c r="G66" s="116">
        <v>3.9</v>
      </c>
      <c r="H66" s="116">
        <v>9.3000000000000007</v>
      </c>
      <c r="I66" s="116">
        <v>4.3</v>
      </c>
      <c r="R66" s="113"/>
      <c r="S66" s="113"/>
      <c r="T66" s="113"/>
      <c r="U66" s="113"/>
      <c r="V66" s="113"/>
      <c r="W66" s="113"/>
      <c r="X66" s="113"/>
      <c r="Y66" s="113"/>
      <c r="Z66" s="113"/>
    </row>
    <row r="67" spans="1:26">
      <c r="A67" s="110">
        <v>2021</v>
      </c>
      <c r="B67" s="81" t="s">
        <v>51</v>
      </c>
      <c r="C67" s="116">
        <v>58</v>
      </c>
      <c r="D67" s="116">
        <v>46.3</v>
      </c>
      <c r="E67" s="116">
        <v>49.3</v>
      </c>
      <c r="F67" s="116">
        <v>47.4</v>
      </c>
      <c r="G67" s="116">
        <v>13.5</v>
      </c>
      <c r="H67" s="116">
        <v>25.3</v>
      </c>
      <c r="I67" s="116">
        <v>16.5</v>
      </c>
      <c r="R67" s="113"/>
      <c r="S67" s="113"/>
      <c r="T67" s="113"/>
      <c r="U67" s="113"/>
      <c r="V67" s="113"/>
      <c r="W67" s="113"/>
      <c r="X67" s="113"/>
      <c r="Y67" s="113"/>
      <c r="Z67" s="113"/>
    </row>
    <row r="68" spans="1:26">
      <c r="A68" s="110">
        <v>2021</v>
      </c>
      <c r="B68" s="81" t="s">
        <v>52</v>
      </c>
      <c r="C68" s="116">
        <v>86.6</v>
      </c>
      <c r="D68" s="116">
        <v>81.599999999999994</v>
      </c>
      <c r="E68" s="116">
        <v>83.1</v>
      </c>
      <c r="F68" s="116">
        <v>72.2</v>
      </c>
      <c r="G68" s="116">
        <v>46.9</v>
      </c>
      <c r="H68" s="116">
        <v>74</v>
      </c>
      <c r="I68" s="116">
        <v>50.1</v>
      </c>
      <c r="R68" s="113"/>
      <c r="S68" s="113"/>
      <c r="T68" s="113"/>
      <c r="U68" s="113"/>
      <c r="V68" s="113"/>
      <c r="W68" s="113"/>
      <c r="X68" s="113"/>
      <c r="Y68" s="113"/>
      <c r="Z68" s="113"/>
    </row>
    <row r="69" spans="1:26">
      <c r="A69" s="110">
        <v>2021</v>
      </c>
      <c r="B69" s="81" t="s">
        <v>53</v>
      </c>
      <c r="C69" s="116">
        <v>108.1</v>
      </c>
      <c r="D69" s="116">
        <v>82.6</v>
      </c>
      <c r="E69" s="116">
        <v>84.3</v>
      </c>
      <c r="F69" s="116">
        <v>72.400000000000006</v>
      </c>
      <c r="G69" s="116">
        <v>26.4</v>
      </c>
      <c r="H69" s="116">
        <v>51.5</v>
      </c>
      <c r="I69" s="116">
        <v>46.7</v>
      </c>
      <c r="R69" s="113"/>
      <c r="S69" s="113"/>
      <c r="T69" s="113"/>
      <c r="U69" s="113"/>
      <c r="V69" s="113"/>
      <c r="W69" s="113"/>
      <c r="X69" s="113"/>
      <c r="Y69" s="113"/>
      <c r="Z69" s="113"/>
    </row>
    <row r="70" spans="1:26">
      <c r="A70" s="110">
        <v>2021</v>
      </c>
      <c r="B70" s="81" t="s">
        <v>314</v>
      </c>
      <c r="C70" s="116">
        <v>73</v>
      </c>
      <c r="D70" s="116">
        <v>71.599999999999994</v>
      </c>
      <c r="E70" s="116">
        <v>71.2</v>
      </c>
      <c r="F70" s="116">
        <v>47.8</v>
      </c>
      <c r="G70" s="116">
        <v>19.600000000000001</v>
      </c>
      <c r="H70" s="116">
        <v>42</v>
      </c>
      <c r="I70" s="116">
        <v>23.3</v>
      </c>
      <c r="R70" s="113"/>
      <c r="S70" s="113"/>
      <c r="T70" s="113"/>
      <c r="U70" s="113"/>
      <c r="V70" s="113"/>
      <c r="W70" s="113"/>
      <c r="X70" s="113"/>
      <c r="Y70" s="113"/>
      <c r="Z70" s="113"/>
    </row>
    <row r="71" spans="1:26">
      <c r="C71" s="116"/>
      <c r="D71" s="116"/>
      <c r="E71" s="116"/>
      <c r="F71" s="116"/>
      <c r="G71" s="116"/>
      <c r="H71" s="116"/>
      <c r="I71" s="116"/>
      <c r="S71" s="113"/>
      <c r="T71" s="113"/>
      <c r="U71" s="113"/>
      <c r="V71" s="113"/>
      <c r="W71" s="113"/>
      <c r="X71" s="113"/>
      <c r="Y71" s="113"/>
      <c r="Z71" s="113"/>
    </row>
    <row r="72" spans="1:26">
      <c r="A72" s="110">
        <v>2022</v>
      </c>
      <c r="B72" s="124" t="s">
        <v>46</v>
      </c>
      <c r="C72" s="116">
        <v>105.40594356454106</v>
      </c>
      <c r="D72" s="116">
        <v>99.973946259373733</v>
      </c>
      <c r="E72" s="116">
        <v>117.84421301818028</v>
      </c>
      <c r="F72" s="116">
        <v>116.37068246671052</v>
      </c>
      <c r="G72" s="116">
        <v>67.706424764818166</v>
      </c>
      <c r="H72" s="116">
        <v>102.82934638711862</v>
      </c>
      <c r="I72" s="116">
        <v>129.53992821027441</v>
      </c>
      <c r="S72" s="113"/>
      <c r="T72" s="113"/>
      <c r="U72" s="113"/>
      <c r="V72" s="113"/>
      <c r="W72" s="113"/>
      <c r="X72" s="113"/>
      <c r="Y72" s="113"/>
      <c r="Z72" s="113"/>
    </row>
    <row r="73" spans="1:26">
      <c r="A73" s="110">
        <v>2022</v>
      </c>
      <c r="B73" s="81" t="s">
        <v>47</v>
      </c>
      <c r="C73" s="116">
        <v>158</v>
      </c>
      <c r="D73" s="116">
        <v>132</v>
      </c>
      <c r="E73" s="116">
        <v>120.3</v>
      </c>
      <c r="F73" s="116">
        <v>31.1</v>
      </c>
      <c r="G73" s="116">
        <v>10.5</v>
      </c>
      <c r="H73" s="116">
        <v>68.099999999999994</v>
      </c>
      <c r="I73" s="116">
        <v>30.3</v>
      </c>
      <c r="S73" s="113"/>
      <c r="T73" s="113"/>
      <c r="U73" s="113"/>
      <c r="V73" s="113"/>
      <c r="W73" s="113"/>
      <c r="X73" s="113"/>
      <c r="Y73" s="113"/>
      <c r="Z73" s="113"/>
    </row>
    <row r="74" spans="1:26">
      <c r="A74" s="110">
        <v>2022</v>
      </c>
      <c r="B74" s="81" t="s">
        <v>313</v>
      </c>
      <c r="C74" s="116">
        <v>1145.8</v>
      </c>
      <c r="D74" s="116">
        <v>1271.7</v>
      </c>
      <c r="E74" s="116">
        <v>1368.6</v>
      </c>
      <c r="F74" s="116">
        <v>1019.3</v>
      </c>
      <c r="G74" s="116">
        <v>610.1</v>
      </c>
      <c r="H74" s="116">
        <v>1162.8</v>
      </c>
      <c r="I74" s="116">
        <v>1183.4000000000001</v>
      </c>
      <c r="S74" s="113"/>
      <c r="T74" s="113"/>
      <c r="U74" s="113"/>
      <c r="V74" s="113"/>
      <c r="W74" s="113"/>
      <c r="X74" s="113"/>
      <c r="Y74" s="113"/>
      <c r="Z74" s="113"/>
    </row>
    <row r="75" spans="1:26">
      <c r="A75" s="110">
        <v>2022</v>
      </c>
      <c r="B75" s="81" t="s">
        <v>48</v>
      </c>
      <c r="C75" s="116">
        <v>17.899999999999999</v>
      </c>
      <c r="D75" s="116">
        <v>16</v>
      </c>
      <c r="E75" s="116">
        <v>20.3</v>
      </c>
      <c r="F75" s="116">
        <v>16</v>
      </c>
      <c r="G75" s="116">
        <v>5.7</v>
      </c>
      <c r="H75" s="116">
        <v>9.6999999999999993</v>
      </c>
      <c r="I75" s="116">
        <v>6.9</v>
      </c>
      <c r="S75" s="113"/>
      <c r="T75" s="113"/>
      <c r="U75" s="113"/>
      <c r="V75" s="113"/>
      <c r="W75" s="113"/>
      <c r="X75" s="113"/>
      <c r="Y75" s="113"/>
      <c r="Z75" s="113"/>
    </row>
    <row r="76" spans="1:26">
      <c r="A76" s="110">
        <v>2022</v>
      </c>
      <c r="B76" s="81" t="s">
        <v>49</v>
      </c>
      <c r="C76" s="116">
        <v>87.5</v>
      </c>
      <c r="D76" s="116">
        <v>64.5</v>
      </c>
      <c r="E76" s="116">
        <v>62.4</v>
      </c>
      <c r="F76" s="116">
        <v>40.700000000000003</v>
      </c>
      <c r="G76" s="153">
        <v>18.899999999999999</v>
      </c>
      <c r="H76" s="116">
        <v>31.8</v>
      </c>
      <c r="I76" s="116">
        <v>12.4</v>
      </c>
      <c r="S76" s="113"/>
      <c r="T76" s="113"/>
      <c r="U76" s="113"/>
      <c r="V76" s="113"/>
      <c r="W76" s="113"/>
      <c r="X76" s="113"/>
      <c r="Y76" s="113"/>
      <c r="Z76" s="113"/>
    </row>
    <row r="77" spans="1:26">
      <c r="A77" s="110">
        <v>2022</v>
      </c>
      <c r="B77" s="81" t="s">
        <v>50</v>
      </c>
      <c r="C77" s="116">
        <v>20.7</v>
      </c>
      <c r="D77" s="116">
        <v>17.600000000000001</v>
      </c>
      <c r="E77" s="116">
        <v>23.1</v>
      </c>
      <c r="F77" s="116">
        <v>19.3</v>
      </c>
      <c r="G77" s="116">
        <v>3.3</v>
      </c>
      <c r="H77" s="116">
        <v>10</v>
      </c>
      <c r="I77" s="116">
        <v>2.5</v>
      </c>
      <c r="S77" s="113"/>
      <c r="T77" s="113"/>
      <c r="U77" s="113"/>
      <c r="V77" s="113"/>
      <c r="W77" s="113"/>
      <c r="X77" s="113"/>
      <c r="Y77" s="113"/>
      <c r="Z77" s="113"/>
    </row>
    <row r="78" spans="1:26">
      <c r="A78" s="110">
        <v>2022</v>
      </c>
      <c r="B78" s="81" t="s">
        <v>51</v>
      </c>
      <c r="C78" s="116">
        <v>62.1</v>
      </c>
      <c r="D78" s="116">
        <v>48.1</v>
      </c>
      <c r="E78" s="116">
        <v>51</v>
      </c>
      <c r="F78" s="116">
        <v>47.3</v>
      </c>
      <c r="G78" s="116">
        <v>13.7</v>
      </c>
      <c r="H78" s="116">
        <v>23.6</v>
      </c>
      <c r="I78" s="116">
        <v>10.3</v>
      </c>
      <c r="K78" s="124"/>
      <c r="L78" s="17"/>
      <c r="M78" s="113"/>
      <c r="N78" s="113"/>
      <c r="O78" s="113"/>
      <c r="P78" s="113"/>
      <c r="Q78" s="113"/>
      <c r="R78" s="113"/>
      <c r="S78" s="113"/>
      <c r="T78" s="113"/>
      <c r="U78" s="113"/>
      <c r="V78" s="113"/>
      <c r="W78" s="113"/>
      <c r="X78" s="113"/>
      <c r="Y78" s="113"/>
      <c r="Z78" s="113"/>
    </row>
    <row r="79" spans="1:26">
      <c r="A79" s="110">
        <v>2022</v>
      </c>
      <c r="B79" s="81" t="s">
        <v>52</v>
      </c>
      <c r="C79" s="116">
        <v>87.2</v>
      </c>
      <c r="D79" s="116">
        <v>81.8</v>
      </c>
      <c r="E79" s="116">
        <v>82.2</v>
      </c>
      <c r="F79" s="116">
        <v>75.400000000000006</v>
      </c>
      <c r="G79" s="116">
        <v>48.7</v>
      </c>
      <c r="H79" s="116">
        <v>73</v>
      </c>
      <c r="I79" s="116">
        <v>45.9</v>
      </c>
      <c r="K79" s="124"/>
      <c r="L79" s="17"/>
      <c r="M79" s="113"/>
      <c r="N79" s="113"/>
      <c r="O79" s="113"/>
      <c r="P79" s="113"/>
      <c r="Q79" s="113"/>
      <c r="R79" s="113"/>
      <c r="S79" s="113"/>
      <c r="T79" s="113"/>
      <c r="U79" s="113"/>
      <c r="V79" s="113"/>
      <c r="W79" s="113"/>
      <c r="X79" s="113"/>
      <c r="Y79" s="113"/>
      <c r="Z79" s="113"/>
    </row>
    <row r="80" spans="1:26">
      <c r="A80" s="110">
        <v>2022</v>
      </c>
      <c r="B80" s="81" t="s">
        <v>53</v>
      </c>
      <c r="C80" s="116">
        <v>113.5</v>
      </c>
      <c r="D80" s="116">
        <v>87.1</v>
      </c>
      <c r="E80" s="116">
        <v>89.9</v>
      </c>
      <c r="F80" s="116">
        <v>75.3</v>
      </c>
      <c r="G80" s="116">
        <v>27.8</v>
      </c>
      <c r="H80" s="116">
        <v>58.8</v>
      </c>
      <c r="I80" s="116">
        <v>46.1</v>
      </c>
      <c r="K80" s="124"/>
      <c r="L80" s="17"/>
      <c r="M80" s="113"/>
      <c r="N80" s="113"/>
      <c r="O80" s="113"/>
      <c r="P80" s="113"/>
      <c r="Q80" s="113"/>
      <c r="R80" s="113"/>
      <c r="S80" s="113"/>
      <c r="T80" s="113"/>
      <c r="U80" s="113"/>
      <c r="V80" s="113"/>
      <c r="W80" s="113"/>
      <c r="X80" s="113"/>
      <c r="Y80" s="113"/>
      <c r="Z80" s="113"/>
    </row>
    <row r="81" spans="1:26">
      <c r="A81" s="110">
        <v>2022</v>
      </c>
      <c r="B81" s="81" t="s">
        <v>314</v>
      </c>
      <c r="C81" s="116">
        <v>77.8</v>
      </c>
      <c r="D81" s="116">
        <v>74.7</v>
      </c>
      <c r="E81" s="116">
        <v>73.5</v>
      </c>
      <c r="F81" s="116">
        <v>49.7</v>
      </c>
      <c r="G81" s="116">
        <v>21.2</v>
      </c>
      <c r="H81" s="116">
        <v>46.2</v>
      </c>
      <c r="I81" s="116">
        <v>21.8</v>
      </c>
      <c r="K81" s="124"/>
      <c r="L81" s="17"/>
      <c r="M81" s="113"/>
      <c r="N81" s="113"/>
      <c r="O81" s="113"/>
      <c r="P81" s="113"/>
      <c r="Q81" s="113"/>
      <c r="R81" s="113"/>
      <c r="S81" s="113"/>
      <c r="T81" s="113"/>
      <c r="U81" s="113"/>
      <c r="V81" s="113"/>
      <c r="W81" s="113"/>
      <c r="X81" s="113"/>
      <c r="Y81" s="113"/>
      <c r="Z81" s="113"/>
    </row>
    <row r="82" spans="1:26">
      <c r="C82" s="116"/>
      <c r="D82" s="116"/>
      <c r="E82" s="116"/>
      <c r="F82" s="116"/>
      <c r="G82" s="116"/>
      <c r="H82" s="116"/>
      <c r="I82" s="116"/>
      <c r="K82" s="124"/>
      <c r="L82" s="17"/>
      <c r="M82" s="113"/>
      <c r="N82" s="113"/>
      <c r="O82" s="113"/>
      <c r="P82" s="113"/>
      <c r="Q82" s="113"/>
      <c r="R82" s="113"/>
      <c r="S82" s="113"/>
      <c r="T82" s="113"/>
      <c r="U82" s="113"/>
      <c r="V82" s="113"/>
      <c r="W82" s="113"/>
      <c r="X82" s="113"/>
      <c r="Y82" s="113"/>
      <c r="Z82" s="113"/>
    </row>
    <row r="83" spans="1:26">
      <c r="A83" s="157">
        <v>2023</v>
      </c>
      <c r="B83" s="124" t="s">
        <v>46</v>
      </c>
      <c r="C83" s="116">
        <v>104.5746</v>
      </c>
      <c r="D83" s="116">
        <v>109.2933</v>
      </c>
      <c r="E83" s="116">
        <v>120.1183</v>
      </c>
      <c r="F83" s="116">
        <v>129.69999999999999</v>
      </c>
      <c r="G83" s="113">
        <v>75.36054</v>
      </c>
      <c r="H83" s="116">
        <v>127.6</v>
      </c>
      <c r="I83" s="116">
        <v>154.53909999999999</v>
      </c>
      <c r="J83" s="116"/>
      <c r="K83" s="124"/>
      <c r="L83" s="17"/>
      <c r="M83" s="113"/>
      <c r="N83" s="113"/>
      <c r="O83" s="113"/>
      <c r="P83" s="113"/>
      <c r="Q83" s="113"/>
      <c r="R83" s="113"/>
      <c r="S83" s="113"/>
      <c r="T83" s="113"/>
      <c r="U83" s="113"/>
      <c r="V83" s="113"/>
      <c r="W83" s="113"/>
      <c r="X83" s="113"/>
      <c r="Y83" s="113"/>
      <c r="Z83" s="113"/>
    </row>
    <row r="84" spans="1:26">
      <c r="A84" s="110">
        <v>2023</v>
      </c>
      <c r="B84" s="81" t="s">
        <v>47</v>
      </c>
      <c r="C84" s="116">
        <v>168.8</v>
      </c>
      <c r="D84" s="116">
        <v>159.9</v>
      </c>
      <c r="E84" s="116">
        <v>160.1</v>
      </c>
      <c r="F84" s="116">
        <v>43.3</v>
      </c>
      <c r="G84" s="81">
        <v>16.3</v>
      </c>
      <c r="H84" s="116">
        <v>76.7</v>
      </c>
      <c r="I84" s="116">
        <v>30.6</v>
      </c>
      <c r="J84" s="116"/>
      <c r="K84" s="124"/>
      <c r="L84" s="17"/>
      <c r="M84" s="116"/>
      <c r="N84" s="116"/>
      <c r="O84" s="116"/>
      <c r="P84" s="116"/>
      <c r="Q84" s="116"/>
      <c r="R84" s="116"/>
      <c r="S84" s="113"/>
      <c r="T84" s="113"/>
      <c r="U84" s="113"/>
      <c r="V84" s="113"/>
      <c r="W84" s="113"/>
      <c r="X84" s="113"/>
      <c r="Y84" s="113"/>
      <c r="Z84" s="113"/>
    </row>
    <row r="85" spans="1:26">
      <c r="A85" s="110">
        <v>2023</v>
      </c>
      <c r="B85" s="81" t="s">
        <v>313</v>
      </c>
      <c r="C85" s="154">
        <v>1175.2</v>
      </c>
      <c r="D85" s="154">
        <v>1298.0999999999999</v>
      </c>
      <c r="E85" s="154">
        <v>1425</v>
      </c>
      <c r="F85" s="154">
        <v>1053.3</v>
      </c>
      <c r="G85" s="154">
        <v>618.29999999999995</v>
      </c>
      <c r="H85" s="154">
        <v>1189.8</v>
      </c>
      <c r="I85" s="154">
        <v>1204.9000000000001</v>
      </c>
      <c r="K85" s="124"/>
      <c r="L85" s="17"/>
      <c r="M85" s="116"/>
      <c r="N85" s="116"/>
      <c r="O85" s="116"/>
      <c r="P85" s="116"/>
      <c r="Q85" s="116"/>
      <c r="R85" s="116"/>
      <c r="S85" s="113"/>
      <c r="T85" s="113"/>
      <c r="U85" s="113"/>
      <c r="V85" s="113"/>
      <c r="W85" s="113"/>
      <c r="X85" s="113"/>
      <c r="Y85" s="113"/>
      <c r="Z85" s="113"/>
    </row>
    <row r="86" spans="1:26">
      <c r="A86" s="110">
        <v>2023</v>
      </c>
      <c r="B86" s="81" t="s">
        <v>48</v>
      </c>
      <c r="C86" s="154">
        <v>17.8</v>
      </c>
      <c r="D86" s="154">
        <v>15.5</v>
      </c>
      <c r="E86" s="154">
        <v>20.3</v>
      </c>
      <c r="F86" s="154">
        <v>16.5</v>
      </c>
      <c r="G86" s="154">
        <v>5.8</v>
      </c>
      <c r="H86" s="154">
        <v>10.7</v>
      </c>
      <c r="I86" s="154">
        <v>5.5</v>
      </c>
      <c r="K86" s="124"/>
      <c r="L86" s="17"/>
      <c r="M86" s="116"/>
      <c r="N86" s="116"/>
      <c r="O86" s="116"/>
      <c r="P86" s="116"/>
      <c r="Q86" s="116"/>
      <c r="R86" s="116"/>
      <c r="S86" s="113"/>
      <c r="T86" s="113"/>
      <c r="U86" s="113"/>
      <c r="V86" s="113"/>
      <c r="W86" s="113"/>
      <c r="X86" s="113"/>
      <c r="Y86" s="113"/>
      <c r="Z86" s="113"/>
    </row>
    <row r="87" spans="1:26">
      <c r="A87" s="110">
        <v>2023</v>
      </c>
      <c r="B87" s="81" t="s">
        <v>49</v>
      </c>
      <c r="C87" s="154">
        <v>89.1</v>
      </c>
      <c r="D87" s="154">
        <v>66.8</v>
      </c>
      <c r="E87" s="154">
        <v>65</v>
      </c>
      <c r="F87" s="154">
        <v>39.700000000000003</v>
      </c>
      <c r="G87" s="154">
        <v>20.5</v>
      </c>
      <c r="H87" s="154">
        <v>31</v>
      </c>
      <c r="I87" s="154">
        <v>18.899999999999999</v>
      </c>
      <c r="K87" s="124"/>
      <c r="L87" s="17"/>
      <c r="M87" s="116"/>
      <c r="N87" s="116"/>
      <c r="O87" s="116"/>
      <c r="P87" s="116"/>
      <c r="Q87" s="116"/>
      <c r="R87" s="116"/>
      <c r="S87" s="113"/>
      <c r="T87" s="113"/>
      <c r="U87" s="113"/>
      <c r="V87" s="113"/>
      <c r="W87" s="113"/>
      <c r="X87" s="113"/>
      <c r="Y87" s="113"/>
      <c r="Z87" s="113"/>
    </row>
    <row r="88" spans="1:26">
      <c r="A88" s="110">
        <v>2023</v>
      </c>
      <c r="B88" s="81" t="s">
        <v>50</v>
      </c>
      <c r="C88" s="149">
        <v>20.6</v>
      </c>
      <c r="D88" s="149">
        <v>18.399999999999999</v>
      </c>
      <c r="E88" s="149">
        <v>24.4</v>
      </c>
      <c r="F88" s="149">
        <v>19.899999999999999</v>
      </c>
      <c r="G88" s="149">
        <v>3.4</v>
      </c>
      <c r="H88" s="149">
        <v>8.5</v>
      </c>
      <c r="I88" s="149">
        <v>3</v>
      </c>
      <c r="K88" s="124"/>
      <c r="L88" s="17"/>
      <c r="S88" s="113"/>
      <c r="T88" s="113"/>
      <c r="U88" s="113"/>
      <c r="V88" s="113"/>
      <c r="W88" s="113"/>
      <c r="X88" s="113"/>
      <c r="Y88" s="113"/>
      <c r="Z88" s="113"/>
    </row>
    <row r="89" spans="1:26">
      <c r="A89" s="110">
        <v>2023</v>
      </c>
      <c r="B89" s="81" t="s">
        <v>51</v>
      </c>
      <c r="C89" s="149">
        <v>61.2</v>
      </c>
      <c r="D89" s="149">
        <v>47.3</v>
      </c>
      <c r="E89" s="149">
        <v>49.6</v>
      </c>
      <c r="F89" s="149">
        <v>50.8</v>
      </c>
      <c r="G89" s="149">
        <v>13.3</v>
      </c>
      <c r="H89" s="149">
        <v>24</v>
      </c>
      <c r="I89" s="149">
        <v>13.1</v>
      </c>
      <c r="S89" s="113"/>
      <c r="T89" s="113"/>
      <c r="U89" s="113"/>
      <c r="V89" s="113"/>
      <c r="W89" s="113"/>
      <c r="X89" s="113"/>
      <c r="Y89" s="113"/>
      <c r="Z89" s="113"/>
    </row>
    <row r="90" spans="1:26">
      <c r="A90" s="110">
        <v>2023</v>
      </c>
      <c r="B90" s="81" t="s">
        <v>52</v>
      </c>
      <c r="C90" s="149">
        <v>86.8</v>
      </c>
      <c r="D90" s="149">
        <v>80.400000000000006</v>
      </c>
      <c r="E90" s="149">
        <v>82.5</v>
      </c>
      <c r="F90" s="149">
        <v>71.2</v>
      </c>
      <c r="G90" s="149">
        <v>49</v>
      </c>
      <c r="H90" s="149">
        <v>71.7</v>
      </c>
      <c r="I90" s="149">
        <v>42.2</v>
      </c>
      <c r="S90" s="113"/>
      <c r="T90" s="113"/>
      <c r="U90" s="113"/>
      <c r="V90" s="113"/>
      <c r="W90" s="113"/>
      <c r="X90" s="113"/>
      <c r="Y90" s="113"/>
      <c r="Z90" s="113"/>
    </row>
    <row r="91" spans="1:26">
      <c r="A91" s="110">
        <v>2023</v>
      </c>
      <c r="B91" s="81" t="s">
        <v>53</v>
      </c>
      <c r="C91" s="149">
        <v>115</v>
      </c>
      <c r="D91" s="149">
        <v>88.6</v>
      </c>
      <c r="E91" s="149">
        <v>91.5</v>
      </c>
      <c r="F91" s="149">
        <v>73.900000000000006</v>
      </c>
      <c r="G91" s="149">
        <v>27.9</v>
      </c>
      <c r="H91" s="149">
        <v>61.1</v>
      </c>
      <c r="I91" s="149">
        <v>43.4</v>
      </c>
      <c r="S91" s="113"/>
      <c r="T91" s="113"/>
      <c r="U91" s="113"/>
      <c r="V91" s="113"/>
      <c r="W91" s="113"/>
      <c r="X91" s="113"/>
      <c r="Y91" s="113"/>
      <c r="Z91" s="113"/>
    </row>
    <row r="92" spans="1:26">
      <c r="A92" s="130">
        <v>2023</v>
      </c>
      <c r="B92" s="131" t="s">
        <v>314</v>
      </c>
      <c r="C92" s="155">
        <v>82.5</v>
      </c>
      <c r="D92" s="155">
        <v>78.2</v>
      </c>
      <c r="E92" s="155">
        <v>77.7</v>
      </c>
      <c r="F92" s="155">
        <v>51.1</v>
      </c>
      <c r="G92" s="155">
        <v>20.9</v>
      </c>
      <c r="H92" s="155">
        <v>48.4</v>
      </c>
      <c r="I92" s="155">
        <v>26.8</v>
      </c>
      <c r="S92" s="113"/>
      <c r="T92" s="113"/>
      <c r="U92" s="113"/>
      <c r="V92" s="113"/>
      <c r="W92" s="113"/>
      <c r="X92" s="113"/>
      <c r="Y92" s="113"/>
      <c r="Z92" s="113"/>
    </row>
    <row r="93" spans="1:26">
      <c r="A93" s="81"/>
      <c r="S93" s="113"/>
      <c r="T93" s="113"/>
      <c r="U93" s="113"/>
      <c r="V93" s="113"/>
      <c r="W93" s="113"/>
      <c r="X93" s="113"/>
      <c r="Y93" s="113"/>
      <c r="Z93" s="113"/>
    </row>
    <row r="94" spans="1:26">
      <c r="A94" s="156" t="s">
        <v>13</v>
      </c>
      <c r="S94" s="113"/>
      <c r="T94" s="113"/>
      <c r="U94" s="113"/>
      <c r="V94" s="113"/>
      <c r="W94" s="113"/>
      <c r="X94" s="113"/>
      <c r="Y94" s="113"/>
      <c r="Z94" s="113"/>
    </row>
    <row r="95" spans="1:26">
      <c r="A95" s="156" t="s">
        <v>343</v>
      </c>
      <c r="S95" s="113"/>
      <c r="T95" s="113"/>
      <c r="U95" s="113"/>
      <c r="V95" s="113"/>
      <c r="W95" s="113"/>
      <c r="X95" s="113"/>
      <c r="Y95" s="113"/>
      <c r="Z95" s="113"/>
    </row>
    <row r="96" spans="1:26">
      <c r="A96" s="156" t="s">
        <v>344</v>
      </c>
      <c r="S96" s="113"/>
      <c r="T96" s="113"/>
      <c r="U96" s="113"/>
      <c r="V96" s="113"/>
      <c r="W96" s="113"/>
      <c r="X96" s="113"/>
      <c r="Y96" s="113"/>
      <c r="Z96" s="113"/>
    </row>
    <row r="97" spans="1:26">
      <c r="A97" s="156" t="s">
        <v>345</v>
      </c>
      <c r="S97" s="113"/>
      <c r="T97" s="113"/>
      <c r="U97" s="113"/>
      <c r="V97" s="113"/>
      <c r="W97" s="113"/>
      <c r="X97" s="113"/>
      <c r="Y97" s="113"/>
      <c r="Z97" s="113"/>
    </row>
    <row r="98" spans="1:26">
      <c r="A98" s="156" t="s">
        <v>342</v>
      </c>
    </row>
    <row r="99" spans="1:26">
      <c r="A99" s="124" t="s">
        <v>346</v>
      </c>
    </row>
  </sheetData>
  <sortState xmlns:xlrd2="http://schemas.microsoft.com/office/spreadsheetml/2017/richdata2" ref="A6:I88">
    <sortCondition ref="A6:A88"/>
  </sortState>
  <mergeCells count="2">
    <mergeCell ref="C5:I5"/>
    <mergeCell ref="B3:H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5B6D-DE02-42F4-98FC-42FC331AC09F}">
  <dimension ref="A1:L23"/>
  <sheetViews>
    <sheetView showGridLines="0" workbookViewId="0">
      <selection sqref="A1:L1"/>
    </sheetView>
  </sheetViews>
  <sheetFormatPr defaultRowHeight="11.25"/>
  <cols>
    <col min="1" max="2" width="9" style="43"/>
    <col min="3" max="3" width="1.75" style="43" customWidth="1"/>
    <col min="4" max="4" width="13.75" style="43" customWidth="1"/>
    <col min="5" max="5" width="3.125" style="43" customWidth="1"/>
    <col min="6" max="6" width="11.5" style="43" customWidth="1"/>
    <col min="7" max="7" width="3.125" style="43" customWidth="1"/>
    <col min="8" max="8" width="7.25" style="43" customWidth="1"/>
    <col min="9" max="9" width="3.125" style="43" customWidth="1"/>
    <col min="10" max="10" width="12.5" style="43" customWidth="1"/>
    <col min="11" max="16384" width="9" style="43"/>
  </cols>
  <sheetData>
    <row r="1" spans="1:12" ht="12.75">
      <c r="A1" s="199" t="s">
        <v>307</v>
      </c>
      <c r="B1" s="199"/>
      <c r="C1" s="199"/>
      <c r="D1" s="199"/>
      <c r="E1" s="199"/>
      <c r="F1" s="199"/>
      <c r="G1" s="199"/>
      <c r="H1" s="199"/>
      <c r="I1" s="199"/>
      <c r="J1" s="199"/>
      <c r="K1" s="199"/>
      <c r="L1" s="199"/>
    </row>
    <row r="2" spans="1:12" ht="11.25" customHeight="1"/>
    <row r="3" spans="1:12">
      <c r="A3" s="200" t="s">
        <v>70</v>
      </c>
      <c r="B3" s="200"/>
      <c r="C3" s="200"/>
      <c r="D3" s="200"/>
      <c r="E3" s="200"/>
      <c r="F3" s="200"/>
      <c r="G3" s="200"/>
      <c r="H3" s="200"/>
      <c r="I3" s="200"/>
      <c r="J3" s="200"/>
    </row>
    <row r="4" spans="1:12" ht="25.5" customHeight="1">
      <c r="A4" s="57" t="s">
        <v>66</v>
      </c>
      <c r="B4" s="58" t="s">
        <v>68</v>
      </c>
      <c r="C4" s="58"/>
      <c r="D4" s="58" t="s">
        <v>55</v>
      </c>
      <c r="E4" s="58"/>
      <c r="F4" s="58" t="s">
        <v>69</v>
      </c>
      <c r="G4" s="58"/>
      <c r="H4" s="58" t="s">
        <v>58</v>
      </c>
      <c r="I4" s="58"/>
      <c r="J4" s="58" t="s">
        <v>39</v>
      </c>
    </row>
    <row r="5" spans="1:12" ht="18.75" customHeight="1">
      <c r="A5" s="201" t="s">
        <v>71</v>
      </c>
      <c r="B5" s="201"/>
      <c r="C5" s="201"/>
      <c r="D5" s="201"/>
      <c r="E5" s="201"/>
      <c r="F5" s="201"/>
      <c r="G5" s="201"/>
      <c r="H5" s="201"/>
      <c r="I5" s="201"/>
      <c r="J5" s="201"/>
    </row>
    <row r="6" spans="1:12">
      <c r="A6" s="70" t="s">
        <v>362</v>
      </c>
      <c r="B6" s="61">
        <v>391.9</v>
      </c>
      <c r="C6" s="61"/>
      <c r="D6" s="61">
        <v>389.7</v>
      </c>
      <c r="E6" s="61"/>
      <c r="F6" s="61">
        <v>398.5</v>
      </c>
      <c r="G6" s="61"/>
      <c r="H6" s="61">
        <v>447.7</v>
      </c>
      <c r="I6" s="61"/>
      <c r="J6" s="61">
        <v>632.6</v>
      </c>
      <c r="K6" s="142"/>
    </row>
    <row r="7" spans="1:12">
      <c r="A7" s="70" t="s">
        <v>363</v>
      </c>
      <c r="B7" s="29">
        <v>400.1</v>
      </c>
      <c r="C7" s="29"/>
      <c r="D7" s="29">
        <v>403.6</v>
      </c>
      <c r="E7" s="29"/>
      <c r="F7" s="29">
        <v>408.2</v>
      </c>
      <c r="G7" s="29"/>
      <c r="H7" s="29">
        <v>460.8</v>
      </c>
      <c r="I7" s="29"/>
      <c r="J7" s="29">
        <v>677.4</v>
      </c>
      <c r="K7" s="142"/>
    </row>
    <row r="8" spans="1:12">
      <c r="A8" s="70" t="s">
        <v>364</v>
      </c>
      <c r="B8" s="62">
        <v>409.6</v>
      </c>
      <c r="C8" s="62"/>
      <c r="D8" s="62">
        <v>415.5</v>
      </c>
      <c r="E8" s="62"/>
      <c r="F8" s="62">
        <v>415.4</v>
      </c>
      <c r="G8" s="62"/>
      <c r="H8" s="62">
        <v>479.4</v>
      </c>
      <c r="I8" s="62"/>
      <c r="J8" s="62">
        <v>745.8</v>
      </c>
      <c r="K8" s="142"/>
    </row>
    <row r="9" spans="1:12">
      <c r="A9" s="70" t="s">
        <v>365</v>
      </c>
      <c r="B9" s="63">
        <v>419.7</v>
      </c>
      <c r="C9" s="63"/>
      <c r="D9" s="63">
        <v>411.9</v>
      </c>
      <c r="E9" s="63"/>
      <c r="F9" s="63">
        <v>425.7</v>
      </c>
      <c r="G9" s="63"/>
      <c r="H9" s="63">
        <v>520.6</v>
      </c>
      <c r="I9" s="63"/>
      <c r="J9" s="63">
        <v>823.6</v>
      </c>
      <c r="K9" s="142"/>
    </row>
    <row r="10" spans="1:12">
      <c r="A10" s="70" t="s">
        <v>366</v>
      </c>
      <c r="B10" s="86">
        <v>415</v>
      </c>
      <c r="C10" s="61"/>
      <c r="D10" s="61">
        <v>420.2</v>
      </c>
      <c r="E10" s="61"/>
      <c r="F10" s="61">
        <v>428.9</v>
      </c>
      <c r="G10" s="61"/>
      <c r="H10" s="61">
        <v>535.70000000000005</v>
      </c>
      <c r="I10" s="61"/>
      <c r="J10" s="61">
        <v>814.6</v>
      </c>
      <c r="K10" s="142"/>
    </row>
    <row r="11" spans="1:12">
      <c r="A11" s="70" t="s">
        <v>367</v>
      </c>
      <c r="B11" s="64">
        <v>412.7</v>
      </c>
      <c r="C11" s="64"/>
      <c r="D11" s="64">
        <v>422.8</v>
      </c>
      <c r="E11" s="64"/>
      <c r="F11" s="64">
        <v>431.3</v>
      </c>
      <c r="G11" s="64"/>
      <c r="H11" s="64">
        <v>546.20000000000005</v>
      </c>
      <c r="I11" s="64"/>
      <c r="J11" s="64">
        <v>774.4</v>
      </c>
      <c r="K11" s="142"/>
    </row>
    <row r="12" spans="1:12">
      <c r="A12" s="70" t="s">
        <v>358</v>
      </c>
      <c r="B12" s="64">
        <v>391.2</v>
      </c>
      <c r="C12" s="64"/>
      <c r="D12" s="64">
        <v>401.8</v>
      </c>
      <c r="E12" s="64"/>
      <c r="F12" s="64">
        <v>419.4</v>
      </c>
      <c r="G12" s="64"/>
      <c r="H12" s="64">
        <v>540.29999999999995</v>
      </c>
      <c r="I12" s="64"/>
      <c r="J12" s="64">
        <v>780</v>
      </c>
      <c r="K12" s="142"/>
    </row>
    <row r="13" spans="1:12">
      <c r="A13" s="70" t="s">
        <v>359</v>
      </c>
      <c r="B13" s="64">
        <v>408.04664069283643</v>
      </c>
      <c r="C13" s="64"/>
      <c r="D13" s="64">
        <v>420.67347245457819</v>
      </c>
      <c r="E13" s="64"/>
      <c r="F13" s="64">
        <v>435.84380025317932</v>
      </c>
      <c r="G13" s="64"/>
      <c r="H13" s="64">
        <v>570.45958816513814</v>
      </c>
      <c r="I13" s="64"/>
      <c r="J13" s="64">
        <v>767.02211431969442</v>
      </c>
      <c r="K13" s="142"/>
    </row>
    <row r="14" spans="1:12">
      <c r="A14" s="70" t="s">
        <v>360</v>
      </c>
      <c r="B14" s="102">
        <v>396.8</v>
      </c>
      <c r="C14" s="102"/>
      <c r="D14" s="102">
        <v>401.1</v>
      </c>
      <c r="E14" s="102"/>
      <c r="F14" s="102">
        <v>422.3</v>
      </c>
      <c r="G14" s="102"/>
      <c r="H14" s="102">
        <v>532.20000000000005</v>
      </c>
      <c r="I14" s="102"/>
      <c r="J14" s="102">
        <v>772.8</v>
      </c>
      <c r="K14" s="142"/>
    </row>
    <row r="15" spans="1:12">
      <c r="A15" s="70" t="s">
        <v>361</v>
      </c>
      <c r="B15" s="102">
        <v>406.9</v>
      </c>
      <c r="C15" s="102"/>
      <c r="D15" s="102">
        <v>411</v>
      </c>
      <c r="E15" s="102"/>
      <c r="F15" s="102">
        <v>434.4</v>
      </c>
      <c r="G15" s="102"/>
      <c r="H15" s="102">
        <v>535.70000000000005</v>
      </c>
      <c r="I15" s="102"/>
      <c r="J15" s="102">
        <v>821.3</v>
      </c>
      <c r="K15" s="142"/>
    </row>
    <row r="16" spans="1:12">
      <c r="A16" s="91" t="s">
        <v>368</v>
      </c>
      <c r="B16" s="99">
        <v>410.1</v>
      </c>
      <c r="C16" s="72"/>
      <c r="D16" s="100">
        <v>421.7</v>
      </c>
      <c r="E16" s="72"/>
      <c r="F16" s="99">
        <v>436.3</v>
      </c>
      <c r="G16" s="72"/>
      <c r="H16" s="100">
        <v>541.79999999999995</v>
      </c>
      <c r="I16" s="72"/>
      <c r="J16" s="99">
        <v>817.2</v>
      </c>
      <c r="K16" s="142"/>
    </row>
    <row r="17" spans="1:10">
      <c r="A17" s="43" t="s">
        <v>72</v>
      </c>
    </row>
    <row r="18" spans="1:10">
      <c r="A18" s="43" t="s">
        <v>369</v>
      </c>
    </row>
    <row r="19" spans="1:10" ht="12.75" customHeight="1">
      <c r="A19" s="43" t="s">
        <v>310</v>
      </c>
    </row>
    <row r="20" spans="1:10">
      <c r="A20" s="129" t="s">
        <v>353</v>
      </c>
      <c r="B20" s="112"/>
      <c r="C20" s="112"/>
      <c r="D20" s="112"/>
      <c r="E20" s="112"/>
      <c r="F20" s="112"/>
      <c r="G20" s="112"/>
      <c r="H20" s="81"/>
      <c r="I20" s="81"/>
      <c r="J20" s="81"/>
    </row>
    <row r="22" spans="1:10">
      <c r="H22" s="152"/>
    </row>
    <row r="23" spans="1:10">
      <c r="F23" s="142"/>
    </row>
  </sheetData>
  <mergeCells count="3">
    <mergeCell ref="A1:L1"/>
    <mergeCell ref="A3:J3"/>
    <mergeCell ref="A5:J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2D61-6568-404E-B8FD-5D130805921C}">
  <dimension ref="A1:L28"/>
  <sheetViews>
    <sheetView showGridLines="0" workbookViewId="0">
      <selection sqref="A1:L1"/>
    </sheetView>
  </sheetViews>
  <sheetFormatPr defaultRowHeight="11.25"/>
  <cols>
    <col min="1" max="1" width="7.75" style="43" customWidth="1"/>
    <col min="2" max="2" width="12.625" style="43" customWidth="1"/>
    <col min="3" max="3" width="3.625" style="43" customWidth="1"/>
    <col min="4" max="4" width="10.625" style="43" customWidth="1"/>
    <col min="5" max="5" width="3.75" style="43" customWidth="1"/>
    <col min="6" max="6" width="12.75" style="43" customWidth="1"/>
    <col min="7" max="7" width="2.625" style="43" customWidth="1"/>
    <col min="8" max="8" width="7.75" style="43" customWidth="1"/>
    <col min="9" max="9" width="2.125" style="43" customWidth="1"/>
    <col min="10" max="10" width="7.75" style="43" customWidth="1"/>
    <col min="11" max="11" width="13.75" style="43" bestFit="1" customWidth="1"/>
    <col min="12" max="12" width="41" style="43" customWidth="1"/>
    <col min="13" max="16384" width="9" style="43"/>
  </cols>
  <sheetData>
    <row r="1" spans="1:12" ht="12.75">
      <c r="A1" s="199" t="s">
        <v>340</v>
      </c>
      <c r="B1" s="199"/>
      <c r="C1" s="199"/>
      <c r="D1" s="199"/>
      <c r="E1" s="199"/>
      <c r="F1" s="199"/>
      <c r="G1" s="199"/>
      <c r="H1" s="199"/>
      <c r="I1" s="199"/>
      <c r="J1" s="199"/>
      <c r="K1" s="199"/>
      <c r="L1" s="199"/>
    </row>
    <row r="2" spans="1:12" ht="9.75" customHeight="1"/>
    <row r="3" spans="1:12">
      <c r="A3" s="200" t="s">
        <v>70</v>
      </c>
      <c r="B3" s="200"/>
      <c r="C3" s="200"/>
      <c r="D3" s="200"/>
      <c r="E3" s="200"/>
      <c r="F3" s="200"/>
      <c r="G3" s="200"/>
      <c r="H3" s="200"/>
      <c r="I3" s="200"/>
      <c r="J3" s="200"/>
      <c r="L3" s="126"/>
    </row>
    <row r="4" spans="1:12" ht="22.5" customHeight="1">
      <c r="A4" s="57" t="s">
        <v>66</v>
      </c>
      <c r="B4" s="58" t="s">
        <v>68</v>
      </c>
      <c r="C4" s="58"/>
      <c r="D4" s="58" t="s">
        <v>55</v>
      </c>
      <c r="E4" s="58"/>
      <c r="F4" s="58" t="s">
        <v>69</v>
      </c>
      <c r="G4" s="58"/>
      <c r="H4" s="58" t="s">
        <v>58</v>
      </c>
      <c r="I4" s="58"/>
      <c r="J4" s="58" t="s">
        <v>39</v>
      </c>
    </row>
    <row r="5" spans="1:12">
      <c r="A5" s="201" t="s">
        <v>71</v>
      </c>
      <c r="B5" s="201"/>
      <c r="C5" s="201"/>
      <c r="D5" s="201"/>
      <c r="E5" s="201"/>
      <c r="F5" s="201"/>
      <c r="G5" s="201"/>
      <c r="H5" s="201"/>
      <c r="I5" s="201"/>
      <c r="J5" s="201"/>
    </row>
    <row r="6" spans="1:12">
      <c r="A6" s="70" t="s">
        <v>362</v>
      </c>
      <c r="B6" s="65">
        <v>17.47245204122817</v>
      </c>
      <c r="C6" s="143"/>
      <c r="D6" s="65">
        <v>11.439386389320857</v>
      </c>
      <c r="E6" s="143"/>
      <c r="F6" s="65">
        <v>5.8000426785364914</v>
      </c>
      <c r="G6" s="143"/>
      <c r="H6" s="65">
        <v>3.7404331866366638</v>
      </c>
      <c r="I6" s="143"/>
      <c r="J6" s="65">
        <v>2.7449364784333263</v>
      </c>
    </row>
    <row r="7" spans="1:12">
      <c r="A7" s="70" t="s">
        <v>363</v>
      </c>
      <c r="B7" s="65">
        <v>19.90264494730998</v>
      </c>
      <c r="C7" s="143"/>
      <c r="D7" s="65">
        <v>13.385083995131851</v>
      </c>
      <c r="E7" s="143"/>
      <c r="F7" s="65">
        <v>6.5077775998443794</v>
      </c>
      <c r="G7" s="143"/>
      <c r="H7" s="65">
        <v>4.0747633412387545</v>
      </c>
      <c r="I7" s="143"/>
      <c r="J7" s="65">
        <v>3.2332654021006428</v>
      </c>
    </row>
    <row r="8" spans="1:12">
      <c r="A8" s="70" t="s">
        <v>364</v>
      </c>
      <c r="B8" s="11">
        <v>20.38796468208761</v>
      </c>
      <c r="C8" s="143"/>
      <c r="D8" s="11">
        <v>14.672829156676105</v>
      </c>
      <c r="E8" s="143"/>
      <c r="F8" s="11">
        <v>7.099788035313729</v>
      </c>
      <c r="G8" s="143"/>
      <c r="H8" s="11">
        <v>3.9502116549989434</v>
      </c>
      <c r="I8" s="143"/>
      <c r="J8" s="11">
        <v>3.4036050428923699</v>
      </c>
    </row>
    <row r="9" spans="1:12">
      <c r="A9" s="70" t="s">
        <v>365</v>
      </c>
      <c r="B9" s="65">
        <v>20.40057204329727</v>
      </c>
      <c r="C9" s="143"/>
      <c r="D9" s="65">
        <v>14.931223726991872</v>
      </c>
      <c r="E9" s="143"/>
      <c r="F9" s="65">
        <v>7.9085170629930959</v>
      </c>
      <c r="G9" s="143"/>
      <c r="H9" s="65">
        <v>3.8300598361661238</v>
      </c>
      <c r="I9" s="143"/>
      <c r="J9" s="65">
        <v>3.0146878395905632</v>
      </c>
    </row>
    <row r="10" spans="1:12">
      <c r="A10" s="70" t="s">
        <v>366</v>
      </c>
      <c r="B10" s="65">
        <v>21.00127947636047</v>
      </c>
      <c r="C10" s="143"/>
      <c r="D10" s="65">
        <v>14.940623662047452</v>
      </c>
      <c r="E10" s="143"/>
      <c r="F10" s="65">
        <v>8.8537837332550637</v>
      </c>
      <c r="G10" s="143"/>
      <c r="H10" s="65">
        <v>3.551757337406741</v>
      </c>
      <c r="I10" s="143"/>
      <c r="J10" s="65">
        <v>3.0768144378256506</v>
      </c>
    </row>
    <row r="11" spans="1:12">
      <c r="A11" s="70" t="s">
        <v>367</v>
      </c>
      <c r="B11" s="65">
        <v>20.651178287523678</v>
      </c>
      <c r="C11" s="143"/>
      <c r="D11" s="65">
        <v>15.788676531072305</v>
      </c>
      <c r="E11" s="143"/>
      <c r="F11" s="65">
        <v>8.7782882193386449</v>
      </c>
      <c r="G11" s="143"/>
      <c r="H11" s="65">
        <v>3.9070713922333393</v>
      </c>
      <c r="I11" s="143"/>
      <c r="J11" s="65">
        <v>3.3180284619872653</v>
      </c>
    </row>
    <row r="12" spans="1:12">
      <c r="A12" s="70" t="s">
        <v>358</v>
      </c>
      <c r="B12" s="65">
        <v>18.185867610863465</v>
      </c>
      <c r="C12" s="143"/>
      <c r="D12" s="65">
        <v>13.298092817389207</v>
      </c>
      <c r="E12" s="143"/>
      <c r="F12" s="65">
        <v>7.9688047702689504</v>
      </c>
      <c r="G12" s="143"/>
      <c r="H12" s="65">
        <v>3.5265942934517174</v>
      </c>
      <c r="I12" s="143"/>
      <c r="J12" s="65">
        <v>3.2196767077786781</v>
      </c>
    </row>
    <row r="13" spans="1:12">
      <c r="A13" s="70" t="s">
        <v>359</v>
      </c>
      <c r="B13" s="65">
        <v>18.827935645678483</v>
      </c>
      <c r="C13" s="143"/>
      <c r="D13" s="65">
        <v>13.302737897271156</v>
      </c>
      <c r="E13" s="143"/>
      <c r="F13" s="65">
        <v>8.2396010338619359</v>
      </c>
      <c r="G13" s="143"/>
      <c r="H13" s="65">
        <v>3.4699150978220747</v>
      </c>
      <c r="I13" s="143"/>
      <c r="J13" s="65">
        <v>3.408462813977768</v>
      </c>
    </row>
    <row r="14" spans="1:12">
      <c r="A14" s="70" t="s">
        <v>360</v>
      </c>
      <c r="B14" s="87">
        <v>14</v>
      </c>
      <c r="C14" s="143"/>
      <c r="D14" s="65">
        <v>8.1</v>
      </c>
      <c r="E14" s="143"/>
      <c r="F14" s="65">
        <v>5.9</v>
      </c>
      <c r="G14" s="143"/>
      <c r="H14" s="65">
        <v>3.3</v>
      </c>
      <c r="I14" s="143"/>
      <c r="J14" s="65">
        <v>3.2</v>
      </c>
    </row>
    <row r="15" spans="1:12">
      <c r="A15" s="120" t="s">
        <v>361</v>
      </c>
      <c r="B15" s="10">
        <v>16.399999999999999</v>
      </c>
      <c r="C15" s="10"/>
      <c r="D15" s="10">
        <v>8.5</v>
      </c>
      <c r="E15" s="10"/>
      <c r="F15" s="10">
        <v>6</v>
      </c>
      <c r="G15" s="10"/>
      <c r="H15" s="10">
        <v>3</v>
      </c>
      <c r="I15" s="10"/>
      <c r="J15" s="10">
        <v>3</v>
      </c>
      <c r="K15" s="11"/>
      <c r="L15" s="81"/>
    </row>
    <row r="16" spans="1:12">
      <c r="A16" s="121" t="s">
        <v>368</v>
      </c>
      <c r="B16" s="16">
        <v>17.3</v>
      </c>
      <c r="C16" s="16"/>
      <c r="D16" s="16">
        <v>8.9</v>
      </c>
      <c r="E16" s="16"/>
      <c r="F16" s="16">
        <v>5.9</v>
      </c>
      <c r="G16" s="16"/>
      <c r="H16" s="16">
        <v>3.2</v>
      </c>
      <c r="I16" s="16"/>
      <c r="J16" s="16">
        <v>3.5</v>
      </c>
      <c r="K16" s="81"/>
      <c r="L16" s="81"/>
    </row>
    <row r="17" spans="1:12">
      <c r="A17" s="60" t="s">
        <v>13</v>
      </c>
      <c r="B17" s="66"/>
      <c r="C17" s="66"/>
      <c r="D17" s="66"/>
      <c r="E17" s="66"/>
      <c r="F17" s="66"/>
      <c r="G17" s="66"/>
      <c r="H17" s="66"/>
      <c r="I17" s="66"/>
      <c r="J17" s="66"/>
    </row>
    <row r="18" spans="1:12">
      <c r="A18" s="43" t="s">
        <v>369</v>
      </c>
    </row>
    <row r="19" spans="1:12">
      <c r="A19" s="43" t="s">
        <v>310</v>
      </c>
    </row>
    <row r="20" spans="1:12">
      <c r="A20" s="43" t="s">
        <v>354</v>
      </c>
      <c r="B20" s="95"/>
      <c r="C20" s="95"/>
      <c r="D20" s="95"/>
      <c r="E20" s="95"/>
      <c r="F20" s="95"/>
      <c r="G20" s="95"/>
      <c r="H20" s="95"/>
      <c r="I20" s="95"/>
      <c r="J20" s="95"/>
      <c r="K20" s="144"/>
      <c r="L20" s="144"/>
    </row>
    <row r="21" spans="1:12">
      <c r="A21" s="66"/>
      <c r="B21" s="66"/>
      <c r="C21" s="66"/>
      <c r="D21" s="66"/>
      <c r="E21" s="66"/>
      <c r="F21" s="66"/>
      <c r="G21" s="66"/>
      <c r="H21" s="66"/>
      <c r="I21" s="66"/>
      <c r="J21" s="66"/>
    </row>
    <row r="22" spans="1:12">
      <c r="A22" s="66"/>
      <c r="B22" s="66"/>
      <c r="C22" s="66"/>
      <c r="D22" s="66"/>
      <c r="E22" s="66"/>
      <c r="F22" s="66"/>
      <c r="G22" s="66"/>
      <c r="H22" s="66"/>
      <c r="I22" s="66"/>
      <c r="J22" s="66"/>
    </row>
    <row r="23" spans="1:12">
      <c r="A23" s="66"/>
      <c r="B23" s="66"/>
      <c r="C23" s="66"/>
      <c r="D23" s="66"/>
      <c r="E23" s="66"/>
      <c r="F23" s="66"/>
      <c r="G23" s="66"/>
      <c r="H23" s="66"/>
      <c r="I23" s="66"/>
      <c r="J23" s="66"/>
    </row>
    <row r="24" spans="1:12">
      <c r="A24" s="66"/>
      <c r="B24" s="66"/>
      <c r="C24" s="66"/>
      <c r="D24" s="66"/>
      <c r="E24" s="66"/>
      <c r="F24" s="66"/>
      <c r="G24" s="66"/>
      <c r="H24" s="66"/>
      <c r="I24" s="66"/>
      <c r="J24" s="66"/>
    </row>
    <row r="25" spans="1:12">
      <c r="A25" s="66"/>
      <c r="B25" s="66"/>
      <c r="C25" s="66"/>
      <c r="D25" s="66"/>
      <c r="E25" s="66"/>
      <c r="F25" s="66"/>
      <c r="G25" s="66"/>
      <c r="H25" s="66"/>
      <c r="I25" s="66"/>
      <c r="J25" s="66"/>
    </row>
    <row r="26" spans="1:12">
      <c r="A26" s="66"/>
      <c r="B26" s="66"/>
      <c r="C26" s="66"/>
      <c r="D26" s="66"/>
      <c r="E26" s="66"/>
      <c r="F26" s="66"/>
      <c r="G26" s="66"/>
      <c r="H26" s="66"/>
      <c r="I26" s="66"/>
      <c r="J26" s="66"/>
    </row>
    <row r="27" spans="1:12">
      <c r="A27" s="66"/>
      <c r="B27" s="66"/>
      <c r="C27" s="66"/>
      <c r="D27" s="66"/>
      <c r="E27" s="66"/>
      <c r="F27" s="66"/>
      <c r="G27" s="66"/>
      <c r="H27" s="66"/>
      <c r="I27" s="66"/>
      <c r="J27" s="66"/>
    </row>
    <row r="28" spans="1:12">
      <c r="A28" s="66"/>
      <c r="B28" s="66"/>
      <c r="C28" s="66"/>
      <c r="D28" s="66"/>
      <c r="E28" s="66"/>
      <c r="F28" s="66"/>
      <c r="G28" s="66"/>
      <c r="H28" s="66"/>
      <c r="I28" s="66"/>
      <c r="J28" s="66"/>
    </row>
  </sheetData>
  <mergeCells count="3">
    <mergeCell ref="A1:L1"/>
    <mergeCell ref="A3:J3"/>
    <mergeCell ref="A5:J5"/>
  </mergeCells>
  <phoneticPr fontId="24"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2A80-2172-4C9E-AC34-4D05A67B6538}">
  <dimension ref="A1:R24"/>
  <sheetViews>
    <sheetView showGridLines="0" workbookViewId="0">
      <selection sqref="A1:L1"/>
    </sheetView>
  </sheetViews>
  <sheetFormatPr defaultRowHeight="11.25"/>
  <cols>
    <col min="1" max="1" width="7.75" style="43" customWidth="1"/>
    <col min="2" max="2" width="11.625" style="43" customWidth="1"/>
    <col min="3" max="3" width="3.75" style="43" customWidth="1"/>
    <col min="4" max="4" width="12.75" style="43" customWidth="1"/>
    <col min="5" max="5" width="3.75" style="43" customWidth="1"/>
    <col min="6" max="6" width="10.75" style="43" customWidth="1"/>
    <col min="7" max="7" width="3.75" style="43" customWidth="1"/>
    <col min="8" max="8" width="7.75" style="43" customWidth="1"/>
    <col min="9" max="9" width="3.75" style="43" customWidth="1"/>
    <col min="10" max="10" width="10.5" style="43" customWidth="1"/>
    <col min="11" max="11" width="9" style="43"/>
    <col min="12" max="12" width="25.125" style="43" customWidth="1"/>
    <col min="13" max="16384" width="9" style="43"/>
  </cols>
  <sheetData>
    <row r="1" spans="1:18" ht="12.75">
      <c r="A1" s="199" t="s">
        <v>308</v>
      </c>
      <c r="B1" s="199"/>
      <c r="C1" s="199"/>
      <c r="D1" s="199"/>
      <c r="E1" s="199"/>
      <c r="F1" s="199"/>
      <c r="G1" s="199"/>
      <c r="H1" s="199"/>
      <c r="I1" s="199"/>
      <c r="J1" s="199"/>
      <c r="K1" s="199"/>
      <c r="L1" s="199"/>
    </row>
    <row r="3" spans="1:18">
      <c r="A3" s="200" t="s">
        <v>70</v>
      </c>
      <c r="B3" s="200"/>
      <c r="C3" s="200"/>
      <c r="D3" s="200"/>
      <c r="E3" s="200"/>
      <c r="F3" s="200"/>
      <c r="G3" s="200"/>
      <c r="H3" s="200"/>
      <c r="I3" s="200"/>
      <c r="J3" s="200"/>
    </row>
    <row r="4" spans="1:18" ht="13.5" customHeight="1">
      <c r="A4" s="67" t="s">
        <v>66</v>
      </c>
      <c r="B4" s="58" t="s">
        <v>68</v>
      </c>
      <c r="C4" s="58"/>
      <c r="D4" s="58" t="s">
        <v>55</v>
      </c>
      <c r="E4" s="58"/>
      <c r="F4" s="58" t="s">
        <v>69</v>
      </c>
      <c r="G4" s="58"/>
      <c r="H4" s="58" t="s">
        <v>58</v>
      </c>
      <c r="I4" s="58"/>
      <c r="J4" s="58" t="s">
        <v>39</v>
      </c>
    </row>
    <row r="5" spans="1:18">
      <c r="A5" s="201" t="s">
        <v>71</v>
      </c>
      <c r="B5" s="201"/>
      <c r="C5" s="201"/>
      <c r="D5" s="201"/>
      <c r="E5" s="201"/>
      <c r="F5" s="201"/>
      <c r="G5" s="201"/>
      <c r="H5" s="201"/>
      <c r="I5" s="201"/>
      <c r="J5" s="201"/>
    </row>
    <row r="6" spans="1:18">
      <c r="A6" s="70" t="s">
        <v>362</v>
      </c>
      <c r="B6" s="68">
        <v>22.79</v>
      </c>
      <c r="D6" s="68">
        <v>25.02</v>
      </c>
      <c r="F6" s="68">
        <v>28.55</v>
      </c>
      <c r="H6" s="68">
        <v>40</v>
      </c>
      <c r="J6" s="68">
        <v>57.36</v>
      </c>
    </row>
    <row r="7" spans="1:18">
      <c r="A7" s="70" t="s">
        <v>363</v>
      </c>
      <c r="B7" s="68">
        <v>23.73</v>
      </c>
      <c r="D7" s="68">
        <v>25.65</v>
      </c>
      <c r="F7" s="68">
        <v>29.32</v>
      </c>
      <c r="H7" s="68">
        <v>40.67</v>
      </c>
      <c r="J7" s="68">
        <v>60.12</v>
      </c>
    </row>
    <row r="8" spans="1:18">
      <c r="A8" s="70" t="s">
        <v>364</v>
      </c>
      <c r="B8" s="68">
        <v>24.96</v>
      </c>
      <c r="D8" s="68">
        <v>26.95</v>
      </c>
      <c r="F8" s="68">
        <v>29.96</v>
      </c>
      <c r="H8" s="68">
        <v>40.72</v>
      </c>
      <c r="J8" s="68">
        <v>62.62</v>
      </c>
    </row>
    <row r="9" spans="1:18">
      <c r="A9" s="70" t="s">
        <v>365</v>
      </c>
      <c r="B9" s="68">
        <v>26.03</v>
      </c>
      <c r="D9" s="68">
        <v>27.25</v>
      </c>
      <c r="F9" s="68">
        <v>31.09</v>
      </c>
      <c r="H9" s="68">
        <v>42.92</v>
      </c>
      <c r="J9" s="68">
        <v>65.97</v>
      </c>
    </row>
    <row r="10" spans="1:18">
      <c r="A10" s="70" t="s">
        <v>366</v>
      </c>
      <c r="B10" s="69">
        <v>26.2</v>
      </c>
      <c r="D10" s="69">
        <v>29.2</v>
      </c>
      <c r="F10" s="69">
        <v>31.8</v>
      </c>
      <c r="H10" s="69">
        <v>44.5</v>
      </c>
      <c r="J10" s="69">
        <v>66.099999999999994</v>
      </c>
    </row>
    <row r="11" spans="1:18">
      <c r="A11" s="70" t="s">
        <v>367</v>
      </c>
      <c r="B11" s="69">
        <v>25.5</v>
      </c>
      <c r="D11" s="69">
        <v>28.8</v>
      </c>
      <c r="F11" s="69">
        <v>31.8</v>
      </c>
      <c r="H11" s="69">
        <v>44.5</v>
      </c>
      <c r="J11" s="69">
        <v>65.5</v>
      </c>
    </row>
    <row r="12" spans="1:18">
      <c r="A12" s="70" t="s">
        <v>358</v>
      </c>
      <c r="B12" s="69">
        <v>23.720500000000001</v>
      </c>
      <c r="D12" s="69">
        <v>27.238499999999998</v>
      </c>
      <c r="F12" s="69">
        <v>29.789400000000001</v>
      </c>
      <c r="H12" s="69">
        <v>41.711799999999997</v>
      </c>
      <c r="J12" s="69">
        <v>62.848300000000002</v>
      </c>
    </row>
    <row r="13" spans="1:18">
      <c r="A13" s="70" t="s">
        <v>359</v>
      </c>
      <c r="B13" s="69">
        <v>21.89898092490926</v>
      </c>
      <c r="D13" s="69">
        <v>25.456407936744235</v>
      </c>
      <c r="F13" s="69">
        <v>27.909774760299403</v>
      </c>
      <c r="H13" s="69">
        <v>41.012515264551311</v>
      </c>
      <c r="J13" s="69">
        <v>60.771364133310342</v>
      </c>
    </row>
    <row r="14" spans="1:18">
      <c r="A14" s="70" t="s">
        <v>360</v>
      </c>
      <c r="B14" s="69">
        <v>21.5</v>
      </c>
      <c r="D14" s="69">
        <v>24.6</v>
      </c>
      <c r="F14" s="69">
        <v>26.7</v>
      </c>
      <c r="H14" s="69">
        <v>38.6</v>
      </c>
      <c r="J14" s="69">
        <v>58.6</v>
      </c>
      <c r="L14" s="56"/>
      <c r="M14" s="56"/>
      <c r="N14" s="56"/>
      <c r="O14" s="56"/>
    </row>
    <row r="15" spans="1:18">
      <c r="A15" s="70" t="s">
        <v>361</v>
      </c>
      <c r="B15" s="97">
        <v>23.3</v>
      </c>
      <c r="D15" s="97">
        <v>26.3</v>
      </c>
      <c r="F15" s="97">
        <v>29.5</v>
      </c>
      <c r="H15" s="97">
        <v>42.5</v>
      </c>
      <c r="J15" s="97">
        <v>66.099999999999994</v>
      </c>
      <c r="L15" s="96"/>
      <c r="M15" s="108"/>
      <c r="N15" s="109"/>
      <c r="O15" s="109"/>
      <c r="P15" s="109"/>
      <c r="R15" s="145"/>
    </row>
    <row r="16" spans="1:18">
      <c r="A16" s="91" t="s">
        <v>368</v>
      </c>
      <c r="B16" s="101">
        <v>24.28</v>
      </c>
      <c r="C16" s="72"/>
      <c r="D16" s="101">
        <v>27.72</v>
      </c>
      <c r="E16" s="72"/>
      <c r="F16" s="101">
        <v>29.65</v>
      </c>
      <c r="G16" s="72"/>
      <c r="H16" s="101">
        <v>43.77</v>
      </c>
      <c r="I16" s="72"/>
      <c r="J16" s="101">
        <v>67.650000000000006</v>
      </c>
      <c r="L16" s="98"/>
      <c r="M16" s="97"/>
      <c r="N16" s="97"/>
      <c r="O16" s="97"/>
      <c r="P16" s="97"/>
    </row>
    <row r="17" spans="1:11">
      <c r="A17" s="60" t="s">
        <v>72</v>
      </c>
    </row>
    <row r="18" spans="1:11">
      <c r="A18" s="43" t="s">
        <v>369</v>
      </c>
    </row>
    <row r="19" spans="1:11">
      <c r="A19" s="43" t="s">
        <v>310</v>
      </c>
    </row>
    <row r="20" spans="1:11">
      <c r="A20" s="43" t="s">
        <v>355</v>
      </c>
    </row>
    <row r="24" spans="1:11">
      <c r="D24" s="153"/>
      <c r="E24" s="153"/>
      <c r="F24" s="153"/>
      <c r="G24" s="153"/>
      <c r="H24" s="153"/>
      <c r="I24" s="153"/>
      <c r="J24" s="153"/>
      <c r="K24" s="153"/>
    </row>
  </sheetData>
  <mergeCells count="3">
    <mergeCell ref="A1:L1"/>
    <mergeCell ref="A3:J3"/>
    <mergeCell ref="A5:J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39CF72626F9C684C9C13E8534B4EF538" ma:contentTypeVersion="1" ma:contentTypeDescription="AIHW Project Document" ma:contentTypeScope="" ma:versionID="aab5fa0d15bb5d53f7dac644500d6aaf">
  <xsd:schema xmlns:xsd="http://www.w3.org/2001/XMLSchema" xmlns:xs="http://www.w3.org/2001/XMLSchema" xmlns:p="http://schemas.microsoft.com/office/2006/metadata/properties" xmlns:ns2="26bd32f0-de9e-4178-835f-8804e6f63a6e" targetNamespace="http://schemas.microsoft.com/office/2006/metadata/properties" ma:root="true" ma:fieldsID="ef610dec6d2258c8f7d37b56fa9ff313" ns2:_="">
    <xsd:import namespace="26bd32f0-de9e-4178-835f-8804e6f63a6e"/>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bd32f0-de9e-4178-835f-8804e6f63a6e"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8081cb8-41e9-4cd2-a215-1014cf0f6406}" ma:internalName="AIHW_PPR_ProjectCategoryLookup" ma:showField="Title" ma:web="{26bd32f0-de9e-4178-835f-8804e6f63a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AIHW_PPR_ProjectCategoryLookup xmlns="26bd32f0-de9e-4178-835f-8804e6f63a6e"/>
  </documentManagement>
</p:properties>
</file>

<file path=customXml/itemProps1.xml><?xml version="1.0" encoding="utf-8"?>
<ds:datastoreItem xmlns:ds="http://schemas.openxmlformats.org/officeDocument/2006/customXml" ds:itemID="{5832D520-EFE0-4026-9496-7727B630B4E2}">
  <ds:schemaRefs>
    <ds:schemaRef ds:uri="http://schemas.microsoft.com/office/2006/metadata/longProperties"/>
  </ds:schemaRefs>
</ds:datastoreItem>
</file>

<file path=customXml/itemProps2.xml><?xml version="1.0" encoding="utf-8"?>
<ds:datastoreItem xmlns:ds="http://schemas.openxmlformats.org/officeDocument/2006/customXml" ds:itemID="{28FBD626-CA13-46C8-A40B-2EE8DB1C2E6B}">
  <ds:schemaRefs>
    <ds:schemaRef ds:uri="http://schemas.microsoft.com/sharepoint/v3/contenttype/forms"/>
  </ds:schemaRefs>
</ds:datastoreItem>
</file>

<file path=customXml/itemProps3.xml><?xml version="1.0" encoding="utf-8"?>
<ds:datastoreItem xmlns:ds="http://schemas.openxmlformats.org/officeDocument/2006/customXml" ds:itemID="{DAA9B69B-EF32-43F2-83E1-560F62C421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bd32f0-de9e-4178-835f-8804e6f63a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01F8419-8314-47B3-9DF0-E6D43FA8D10E}">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26bd32f0-de9e-4178-835f-8804e6f63a6e"/>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 and remote health supplementary data tables</dc:title>
  <dc:creator>AIHW</dc:creator>
  <cp:lastPrinted>2013-02-11T06:10:13Z</cp:lastPrinted>
  <dcterms:created xsi:type="dcterms:W3CDTF">2012-11-14T10:13:24Z</dcterms:created>
  <dcterms:modified xsi:type="dcterms:W3CDTF">2025-11-05T22:08:52Z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0x010100B4A1F787F0C441AC878A307E051D262E0039CF72626F9C684C9C13E8534B4EF538</vt:lpwstr>
  </property>
  <property fmtid="{D5CDD505-2E9C-101B-9397-08002B2CF9AE}" pid="3" name="AIHW_PPR_AnalysisFileRunBy">
    <vt:lpwstr/>
  </property>
</Properties>
</file>